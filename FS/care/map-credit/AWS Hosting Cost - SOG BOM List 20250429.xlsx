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imin\Documents\"/>
    </mc:Choice>
  </mc:AlternateContent>
  <xr:revisionPtr revIDLastSave="0" documentId="13_ncr:1_{A5457E43-3ED8-42B1-B390-65ABEFD09E7B}" xr6:coauthVersionLast="47" xr6:coauthVersionMax="47" xr10:uidLastSave="{00000000-0000-0000-0000-000000000000}"/>
  <bookViews>
    <workbookView xWindow="-108" yWindow="-108" windowWidth="23256" windowHeight="12576" xr2:uid="{AB046098-55F5-3348-AF64-518F0B8CB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5" i="1" l="1"/>
  <c r="G64" i="1" l="1"/>
  <c r="G63" i="1"/>
  <c r="G62" i="1"/>
  <c r="H54" i="1"/>
  <c r="F52" i="1" a="1"/>
  <c r="F52" i="1" s="1"/>
  <c r="G52" i="1" s="1" a="1"/>
  <c r="G52" i="1" s="1"/>
  <c r="F48" i="1" a="1"/>
  <c r="F48" i="1" s="1"/>
  <c r="G48" i="1" s="1" a="1"/>
  <c r="G48" i="1" s="1"/>
  <c r="F43" i="1" a="1"/>
  <c r="F43" i="1" s="1"/>
  <c r="G43" i="1" s="1" a="1"/>
  <c r="G43" i="1" s="1"/>
  <c r="E31" i="1" a="1"/>
  <c r="E31" i="1" s="1"/>
  <c r="C18" i="1" a="1"/>
  <c r="C18" i="1" s="1"/>
  <c r="B18" i="1" a="1"/>
  <c r="B18" i="1" s="1"/>
  <c r="F31" i="1" l="1" a="1"/>
  <c r="F31" i="1" s="1"/>
  <c r="E51" i="1" a="1"/>
  <c r="E51" i="1" s="1"/>
  <c r="F51" i="1" s="1" a="1"/>
  <c r="F51" i="1" s="1"/>
  <c r="G51" i="1" s="1" a="1"/>
  <c r="G51" i="1" s="1"/>
  <c r="E47" i="1" a="1"/>
  <c r="E47" i="1" s="1"/>
  <c r="F47" i="1" s="1" a="1"/>
  <c r="F47" i="1" s="1"/>
  <c r="G47" i="1" s="1" a="1"/>
  <c r="G47" i="1" s="1"/>
  <c r="D22" i="1" a="1"/>
  <c r="D22" i="1" s="1"/>
  <c r="F18" i="1" a="1"/>
  <c r="F18" i="1" s="1"/>
  <c r="C35" i="1" l="1" a="1"/>
  <c r="C35" i="1" s="1"/>
  <c r="D53" i="1" s="1" a="1"/>
  <c r="D53" i="1" s="1"/>
  <c r="F53" i="1" s="1" a="1"/>
  <c r="F53" i="1" s="1"/>
  <c r="G53" i="1" s="1" a="1"/>
  <c r="G53" i="1" s="1"/>
  <c r="D35" i="1" a="1"/>
  <c r="D35" i="1" s="1"/>
  <c r="E35" i="1" a="1"/>
  <c r="E35" i="1" s="1"/>
  <c r="E46" i="1" a="1"/>
  <c r="E46" i="1" s="1"/>
  <c r="F46" i="1" s="1" a="1"/>
  <c r="F46" i="1" s="1"/>
  <c r="G46" i="1" s="1" a="1"/>
  <c r="G46" i="1" s="1"/>
  <c r="E44" i="1" a="1"/>
  <c r="E44" i="1" s="1"/>
  <c r="E49" i="1" a="1"/>
  <c r="E49" i="1" s="1"/>
  <c r="F49" i="1" s="1" a="1"/>
  <c r="F49" i="1" s="1"/>
  <c r="G49" i="1" s="1" a="1"/>
  <c r="G49" i="1" s="1"/>
  <c r="E45" i="1" a="1"/>
  <c r="E45" i="1" s="1"/>
  <c r="F45" i="1" s="1" a="1"/>
  <c r="F45" i="1" s="1"/>
  <c r="G45" i="1" s="1" a="1"/>
  <c r="G45" i="1" s="1"/>
  <c r="E22" i="1" a="1"/>
  <c r="E22" i="1" s="1"/>
  <c r="F35" i="1" l="1" a="1"/>
  <c r="F35" i="1" s="1"/>
  <c r="E50" i="1" a="1"/>
  <c r="E50" i="1" s="1"/>
  <c r="F50" i="1" s="1" a="1"/>
  <c r="F50" i="1" s="1"/>
  <c r="G50" i="1" s="1" a="1"/>
  <c r="G50" i="1" s="1"/>
  <c r="F44" i="1" a="1"/>
  <c r="F44" i="1" s="1"/>
  <c r="G44" i="1" s="1" a="1"/>
  <c r="G44" i="1" s="1"/>
  <c r="C60" i="1" s="1" a="1"/>
  <c r="C60" i="1" s="1"/>
  <c r="E26" i="1" a="1"/>
  <c r="E26" i="1" s="1"/>
  <c r="D26" i="1" a="1"/>
  <c r="D26" i="1" s="1"/>
  <c r="C26" i="1" a="1"/>
  <c r="C26" i="1" s="1"/>
  <c r="D41" i="1" l="1" a="1"/>
  <c r="D41" i="1" s="1"/>
  <c r="F41" i="1" s="1" a="1"/>
  <c r="F41" i="1" s="1"/>
  <c r="G41" i="1" s="1" a="1"/>
  <c r="G41" i="1" s="1"/>
  <c r="D42" i="1" a="1"/>
  <c r="D42" i="1" s="1"/>
  <c r="F42" i="1" s="1" a="1"/>
  <c r="F42" i="1" s="1"/>
  <c r="G42" i="1" s="1" a="1"/>
  <c r="G42" i="1" s="1"/>
  <c r="F26" i="1" a="1"/>
  <c r="F26" i="1" s="1"/>
  <c r="D39" i="1" l="1" a="1"/>
  <c r="D39" i="1" s="1"/>
  <c r="F39" i="1" s="1" a="1"/>
  <c r="F39" i="1" s="1"/>
  <c r="G39" i="1" s="1" a="1"/>
  <c r="G39" i="1" s="1"/>
  <c r="D40" i="1" a="1"/>
  <c r="D40" i="1" s="1"/>
  <c r="F40" i="1" s="1" a="1"/>
  <c r="F40" i="1" s="1"/>
  <c r="G40" i="1" s="1" a="1"/>
  <c r="G40" i="1" s="1"/>
  <c r="G54" i="1" l="1" a="1"/>
  <c r="G54" i="1" s="1"/>
  <c r="G55" i="1" s="1" a="1"/>
  <c r="G55" i="1" s="1"/>
  <c r="G56" i="1" s="1" a="1"/>
  <c r="G56" i="1" s="1"/>
  <c r="G58" i="1" l="1" a="1"/>
  <c r="G5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Anlun</author>
  </authors>
  <commentList>
    <comment ref="E26" authorId="0" shapeId="0" xr:uid="{FCFF8DA0-2BD5-7942-9F52-6D1FA0A89D5A}">
      <text>
        <r>
          <rPr>
            <sz val="11"/>
            <color indexed="8"/>
            <rFont val="Helvetica Neue"/>
            <family val="2"/>
          </rPr>
          <t>Anlun:
512 GB is redundant traffic for other operations that are not billed</t>
        </r>
      </text>
    </comment>
    <comment ref="C27" authorId="0" shapeId="0" xr:uid="{7D1C44C1-1DA3-F540-91B9-C0BBBA72E46B}">
      <text>
        <r>
          <rPr>
            <sz val="11"/>
            <color indexed="8"/>
            <rFont val="Helvetica Neue"/>
            <family val="2"/>
          </rPr>
          <t>Anlun:
参考CN 5月实际存放文件大小，除以5月总单量。</t>
        </r>
      </text>
    </comment>
    <comment ref="D27" authorId="0" shapeId="0" xr:uid="{CBBBEE87-3266-894D-8DC4-E99672025D66}">
      <text>
        <r>
          <rPr>
            <sz val="11"/>
            <color indexed="8"/>
            <rFont val="Helvetica Neue"/>
            <family val="2"/>
          </rPr>
          <t>Anlun:
参考CN此时间段(3月10日-3月15日）的US系统客户每单的文件上传数据</t>
        </r>
      </text>
    </comment>
    <comment ref="E27" authorId="0" shapeId="0" xr:uid="{A99B12F9-4505-AB4A-A295-6DB28EC1ABF2}">
      <text>
        <r>
          <rPr>
            <sz val="11"/>
            <color indexed="8"/>
            <rFont val="Helvetica Neue"/>
            <family val="2"/>
          </rPr>
          <t>Anlun:
维修 18 个页面开单，按照系数 1.2 预估产生 22 个页面
SNR 13 个页面，按照系数 1.2 预估产生 15 个页面
按照 SNR 占比 80% 计算每单平均维修涉及页面数量为 15*80%+22*20%=16 个页面</t>
        </r>
      </text>
    </comment>
    <comment ref="E31" authorId="0" shapeId="0" xr:uid="{802950E2-DC71-1749-95CB-A09ABFD33073}">
      <text>
        <r>
          <rPr>
            <sz val="11"/>
            <color indexed="8"/>
            <rFont val="Helvetica Neue"/>
            <family val="2"/>
          </rPr>
          <t>Anlun:
参考CN的新人培训，38门课程大概是350Mb,每门课程大概是9.1Mb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<sst xmlns="http://schemas.openxmlformats.org/spreadsheetml/2006/main" count="75" uniqueCount="71">
  <si>
    <t>This is the configuration calculation for the cloud-based solution. The variables with a light blue background are adjustable.</t>
  </si>
  <si>
    <r>
      <rPr>
        <sz val="10"/>
        <color rgb="FF000000"/>
        <rFont val="Helvetica Neue"/>
        <family val="2"/>
      </rPr>
      <t xml:space="preserve">
</t>
    </r>
    <r>
      <rPr>
        <sz val="10"/>
        <color rgb="FF000000"/>
        <rFont val="Helvetica Neue"/>
        <family val="2"/>
      </rPr>
      <t xml:space="preserve">   1. Assuming the data complies with local regulations, cloud resources can be shared. For example, Thai data complies with local regulations while being stored in the JP cloud.
</t>
    </r>
    <r>
      <rPr>
        <sz val="10"/>
        <color rgb="FF000000"/>
        <rFont val="Helvetica Neue"/>
        <family val="2"/>
      </rPr>
      <t xml:space="preserve">
</t>
    </r>
    <r>
      <rPr>
        <sz val="10"/>
        <color rgb="FF000000"/>
        <rFont val="Helvetica Neue"/>
        <family val="2"/>
      </rPr>
      <t xml:space="preserve">   </t>
    </r>
    <r>
      <rPr>
        <sz val="10"/>
        <color rgb="FF0070C0"/>
        <rFont val="Helvetica Neue"/>
        <family val="2"/>
      </rPr>
      <t xml:space="preserve">2. The proposed cloud resources can support a total of 10,000 orders / week in the targeted countries, with each store handling up to 2 tickets / week maximum and an average of 2 staff members / store. The hardware resources will need to be increased exponentially if the number of orders exceeds 10,000 / week..
</t>
    </r>
    <r>
      <rPr>
        <sz val="10"/>
        <color rgb="FF0070C0"/>
        <rFont val="Helvetica Neue"/>
        <family val="2"/>
      </rPr>
      <t xml:space="preserve">
</t>
    </r>
    <r>
      <rPr>
        <sz val="10"/>
        <color rgb="FF0070C0"/>
        <rFont val="Helvetica Neue"/>
        <family val="2"/>
      </rPr>
      <t xml:space="preserve">   3. The time required for daily administrative tasks in hosting operations will be accounted for and deducted using annual maintenance man-days.
</t>
    </r>
  </si>
  <si>
    <r>
      <rPr>
        <sz val="10"/>
        <color rgb="FF000000"/>
        <rFont val="Helvetica Neue"/>
        <family val="2"/>
      </rPr>
      <t xml:space="preserve">Last update </t>
    </r>
    <r>
      <rPr>
        <sz val="10"/>
        <color rgb="FF000000"/>
        <rFont val="SimSun"/>
        <family val="3"/>
        <charset val="134"/>
      </rPr>
      <t>：</t>
    </r>
    <r>
      <rPr>
        <sz val="10"/>
        <color rgb="FF000000"/>
        <rFont val="Helvetica Neue"/>
        <family val="2"/>
      </rPr>
      <t xml:space="preserve"> 2025-04-08</t>
    </r>
  </si>
  <si>
    <t>Contry 1</t>
  </si>
  <si>
    <t>#of Store</t>
  </si>
  <si>
    <t>Thai</t>
  </si>
  <si>
    <t>Contry 2</t>
  </si>
  <si>
    <t>Japan</t>
  </si>
  <si>
    <t>Contry 3</t>
  </si>
  <si>
    <t>Korea</t>
  </si>
  <si>
    <t>Contry 4</t>
  </si>
  <si>
    <t>English</t>
  </si>
  <si>
    <t>Total #of Contry</t>
  </si>
  <si>
    <t>Total #of Store</t>
  </si>
  <si>
    <t>#of Staff / Store</t>
  </si>
  <si>
    <t>Turnover Rate</t>
  </si>
  <si>
    <t>Total #of Staff</t>
  </si>
  <si>
    <t>Ticket / Week</t>
  </si>
  <si>
    <t>#of Ticket / Week</t>
  </si>
  <si>
    <t>#of Ticket / Month</t>
  </si>
  <si>
    <t>开单操作总文档大小及上行流量（GB）
File size and upstream traffic for a ticket (GB)</t>
  </si>
  <si>
    <t>开单操作总文档数量
file size for a ticket per month</t>
  </si>
  <si>
    <t>系统操作页面下行流量（GB）
downstream traffic (GB)</t>
  </si>
  <si>
    <t>双向总流量（GB / 月）
Bidirectional tot. traffic (GB/month)</t>
  </si>
  <si>
    <r>
      <rPr>
        <i/>
        <sz val="10"/>
        <color rgb="FF000000"/>
        <rFont val="等线"/>
        <family val="4"/>
        <charset val="134"/>
      </rPr>
      <t xml:space="preserve">每张单含 2.78MB 附件文件
</t>
    </r>
    <r>
      <rPr>
        <sz val="10"/>
        <color rgb="FF000000"/>
        <rFont val="等线"/>
        <family val="4"/>
        <charset val="134"/>
      </rPr>
      <t>Each ticket contains 2.78MB attachment file</t>
    </r>
  </si>
  <si>
    <r>
      <rPr>
        <i/>
        <sz val="10"/>
        <color rgb="FF000000"/>
        <rFont val="等线"/>
        <family val="4"/>
        <charset val="134"/>
      </rPr>
      <t xml:space="preserve">每张单上传 1.7 个文件
</t>
    </r>
    <r>
      <rPr>
        <sz val="10"/>
        <color rgb="FF000000"/>
        <rFont val="等线"/>
        <family val="4"/>
        <charset val="134"/>
      </rPr>
      <t>Each ticket needs to upload 1.7 files</t>
    </r>
  </si>
  <si>
    <r>
      <rPr>
        <i/>
        <sz val="10"/>
        <color rgb="FF000000"/>
        <rFont val="等线"/>
        <family val="4"/>
        <charset val="134"/>
      </rPr>
      <t xml:space="preserve">每张单操作 16个页面 / 每个页面 1MB
</t>
    </r>
    <r>
      <rPr>
        <sz val="10"/>
        <color rgb="FF000000"/>
        <rFont val="等线"/>
        <family val="4"/>
        <charset val="134"/>
      </rPr>
      <t>The processing of 1 ticket involves 16 pages, 1MB per page</t>
    </r>
  </si>
  <si>
    <t>新员工培训科目数
#of courses for new hires</t>
  </si>
  <si>
    <t>年度培训更新科目数
#of annual course update</t>
  </si>
  <si>
    <t>总课程文件大小（MB）
Tot. size of courses</t>
  </si>
  <si>
    <t>平均课程文件大小（MB）
Average size of one course (MB)</t>
  </si>
  <si>
    <t>全员启动培训流量（GB）
Tot. traffic for all staff startup training (GB)</t>
  </si>
  <si>
    <t>新员工完整培训流量（GB）
Tot. traffic for complete new hire training (GB)</t>
  </si>
  <si>
    <t>年度更新课程流量（GB）
Annual course update traffic (GB)</t>
  </si>
  <si>
    <t xml:space="preserve">培训总流量（GB / 月）
Tot. traffic （GB/month) </t>
  </si>
  <si>
    <t>项目
Item</t>
  </si>
  <si>
    <t>配置
Configuration</t>
  </si>
  <si>
    <t>单价/月
Unit Cost/Month</t>
  </si>
  <si>
    <t>数量
Qty.</t>
  </si>
  <si>
    <t>月成本（USD）
Cost / Month (USD)</t>
  </si>
  <si>
    <t>年成本（USD）
Cost / Year (USD)</t>
  </si>
  <si>
    <t>External Line Bandwidth</t>
  </si>
  <si>
    <r>
      <rPr>
        <sz val="10"/>
        <color rgb="FF000000"/>
        <rFont val="Helvetica Neue"/>
        <family val="2"/>
      </rPr>
      <t xml:space="preserve">Elastic Load Balancing - ALB Layer 7 </t>
    </r>
    <r>
      <rPr>
        <sz val="10"/>
        <color rgb="FF000000"/>
        <rFont val="SimSun"/>
        <family val="3"/>
        <charset val="134"/>
      </rPr>
      <t>（开启</t>
    </r>
    <r>
      <rPr>
        <sz val="10"/>
        <color rgb="FF000000"/>
        <rFont val="Helvetica Neue"/>
        <family val="2"/>
      </rPr>
      <t>WAF</t>
    </r>
    <r>
      <rPr>
        <sz val="10"/>
        <color rgb="FF000000"/>
        <rFont val="SimSun"/>
        <family val="3"/>
        <charset val="134"/>
      </rPr>
      <t>：</t>
    </r>
    <r>
      <rPr>
        <sz val="10"/>
        <color rgb="FF000000"/>
        <rFont val="Helvetica Neue"/>
        <family val="2"/>
      </rPr>
      <t>19</t>
    </r>
    <r>
      <rPr>
        <sz val="10"/>
        <color rgb="FF000000"/>
        <rFont val="SimSun"/>
        <family val="3"/>
        <charset val="134"/>
      </rPr>
      <t>个规则，</t>
    </r>
    <r>
      <rPr>
        <sz val="10"/>
        <color rgb="FF000000"/>
        <rFont val="Helvetica Neue"/>
        <family val="2"/>
      </rPr>
      <t>1</t>
    </r>
    <r>
      <rPr>
        <sz val="10"/>
        <color rgb="FF000000"/>
        <rFont val="SimSun"/>
        <family val="3"/>
        <charset val="134"/>
      </rPr>
      <t>个</t>
    </r>
    <r>
      <rPr>
        <sz val="10"/>
        <color rgb="FF000000"/>
        <rFont val="Helvetica Neue"/>
        <family val="2"/>
      </rPr>
      <t>ACL</t>
    </r>
    <r>
      <rPr>
        <sz val="10"/>
        <color rgb="FF000000"/>
        <rFont val="SimSun"/>
        <family val="3"/>
        <charset val="134"/>
      </rPr>
      <t>，每月</t>
    </r>
    <r>
      <rPr>
        <sz val="10"/>
        <color rgb="FF000000"/>
        <rFont val="Helvetica Neue"/>
        <family val="2"/>
      </rPr>
      <t>3000</t>
    </r>
    <r>
      <rPr>
        <sz val="10"/>
        <color rgb="FF000000"/>
        <rFont val="SimSun"/>
        <family val="3"/>
        <charset val="134"/>
      </rPr>
      <t>万的求）</t>
    </r>
  </si>
  <si>
    <t>Gateway - NAT</t>
  </si>
  <si>
    <t>FSx - Storage</t>
  </si>
  <si>
    <t>多可用区域部署 / SSD</t>
  </si>
  <si>
    <t>S3 - Storage</t>
  </si>
  <si>
    <t>S3 Glacier Instant Retrieval</t>
  </si>
  <si>
    <t>AWS Systems Manager</t>
  </si>
  <si>
    <r>
      <rPr>
        <sz val="10"/>
        <color rgb="FF000000"/>
        <rFont val="Helvetica Neue"/>
        <family val="2"/>
      </rPr>
      <t>On-Premises Instance Management</t>
    </r>
    <r>
      <rPr>
        <sz val="10"/>
        <color rgb="FF000000"/>
        <rFont val="SimSun"/>
        <family val="3"/>
        <charset val="134"/>
      </rPr>
      <t>（启用标准吞吐量</t>
    </r>
    <r>
      <rPr>
        <sz val="10"/>
        <color rgb="FF000000"/>
        <rFont val="Helvetica Neue"/>
        <family val="2"/>
      </rPr>
      <t>API</t>
    </r>
    <r>
      <rPr>
        <sz val="10"/>
        <color rgb="FF000000"/>
        <rFont val="SimSun"/>
        <family val="3"/>
        <charset val="134"/>
      </rPr>
      <t>交互）；</t>
    </r>
    <r>
      <rPr>
        <sz val="10"/>
        <color rgb="FF000000"/>
        <rFont val="Helvetica Neue"/>
        <family val="2"/>
      </rPr>
      <t xml:space="preserve">
</t>
    </r>
    <r>
      <rPr>
        <sz val="10"/>
        <color rgb="FF000000"/>
        <rFont val="Helvetica Neue"/>
        <family val="2"/>
      </rPr>
      <t>Parameter Store</t>
    </r>
    <r>
      <rPr>
        <sz val="10"/>
        <color rgb="FF000000"/>
        <rFont val="SimSun"/>
        <family val="3"/>
        <charset val="134"/>
      </rPr>
      <t>（标准实例套餐）</t>
    </r>
  </si>
  <si>
    <t>Server</t>
  </si>
  <si>
    <t>Nginx（c7i.large|2v|4G|128G）</t>
  </si>
  <si>
    <t>AD（c7i.large|2v|4G|200G）</t>
  </si>
  <si>
    <t>Web Server（r7i.large|4v|32G|1T）</t>
  </si>
  <si>
    <t>RDS with SQL Server（db.m5.xlarge|4v|16G|200GB|1000IOPS|Always On|SQL2022标准版）</t>
  </si>
  <si>
    <t>Job Server（m7i.large|4v|16G|256G）</t>
  </si>
  <si>
    <t>Redis（m5.large|2v|6.38G|）</t>
  </si>
  <si>
    <t>CloudWatch</t>
  </si>
  <si>
    <t>Other</t>
  </si>
  <si>
    <t>System Domain Name &amp; SSL</t>
  </si>
  <si>
    <t>Short link Domain Name &amp; Email</t>
  </si>
  <si>
    <t>Initiation Training traffic</t>
  </si>
  <si>
    <t>Total  (1st Year)</t>
  </si>
  <si>
    <t>Deduct: AWS refund 8%</t>
  </si>
  <si>
    <t>Total  (From 2nd Year)</t>
  </si>
  <si>
    <t xml:space="preserve">AWS RI prepaid cost:
</t>
  </si>
  <si>
    <t>Database</t>
  </si>
  <si>
    <t>Storage</t>
  </si>
  <si>
    <t>Others</t>
  </si>
  <si>
    <t>For MAP Lite Program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</si>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</sst>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"/>
  </numFmts>
  <fonts count="10">
    <font>
      <sz val="12"/>
      <color theme="1"/>
      <name val="Calibri"/>
      <family val="2"/>
      <charset val="134"/>
      <scheme val="minor"/>
    </font>
    <font>
      <sz val="10"/>
      <color rgb="FF000000"/>
      <name val="Helvetica Neue"/>
      <family val="2"/>
    </font>
    <font>
      <sz val="9"/>
      <name val="Calibri"/>
      <family val="2"/>
      <charset val="134"/>
      <scheme val="minor"/>
    </font>
    <font>
      <sz val="10"/>
      <color rgb="FF0070C0"/>
      <name val="Helvetica Neue"/>
      <family val="2"/>
    </font>
    <font>
      <sz val="10"/>
      <color rgb="FF000000"/>
      <name val="SimSun"/>
      <family val="3"/>
      <charset val="134"/>
    </font>
    <font>
      <i/>
      <sz val="10"/>
      <color rgb="FF000000"/>
      <name val="等线"/>
      <family val="4"/>
      <charset val="134"/>
    </font>
    <font>
      <sz val="10"/>
      <color rgb="FF000000"/>
      <name val="等线"/>
      <family val="4"/>
      <charset val="134"/>
    </font>
    <font>
      <sz val="11"/>
      <color indexed="8"/>
      <name val="Helvetica Neue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D0D0D0"/>
        <bgColor auto="1"/>
      </patternFill>
    </fill>
    <fill>
      <gradientFill degree="270">
        <stop position="0">
          <color rgb="FFBAD6FF"/>
        </stop>
        <stop position="0.35">
          <color rgb="FFCEE1FF"/>
        </stop>
        <stop position="1">
          <color rgb="FFECF3FF"/>
        </stop>
      </gradientFill>
    </fill>
    <fill>
      <patternFill patternType="solid">
        <fgColor rgb="FFDFF7D6"/>
        <bgColor auto="1"/>
      </patternFill>
    </fill>
    <fill>
      <patternFill patternType="solid">
        <fgColor rgb="FFD8D8D8"/>
        <bgColor auto="1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AAAAAA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AAAAAA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49" fontId="1" fillId="2" borderId="1" xfId="0" applyNumberFormat="1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49" fontId="1" fillId="2" borderId="5" xfId="0" applyNumberFormat="1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6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49" fontId="1" fillId="3" borderId="10" xfId="0" applyNumberFormat="1" applyFont="1" applyFill="1" applyBorder="1">
      <alignment vertical="center"/>
    </xf>
    <xf numFmtId="49" fontId="1" fillId="2" borderId="11" xfId="0" applyNumberFormat="1" applyFont="1" applyFill="1" applyBorder="1">
      <alignment vertical="center"/>
    </xf>
    <xf numFmtId="49" fontId="1" fillId="2" borderId="0" xfId="0" applyNumberFormat="1" applyFont="1" applyFill="1">
      <alignment vertical="center"/>
    </xf>
    <xf numFmtId="0" fontId="1" fillId="2" borderId="12" xfId="0" applyFont="1" applyFill="1" applyBorder="1">
      <alignment vertical="center"/>
    </xf>
    <xf numFmtId="49" fontId="1" fillId="4" borderId="13" xfId="0" applyNumberFormat="1" applyFont="1" applyFill="1" applyBorder="1">
      <alignment vertical="center"/>
    </xf>
    <xf numFmtId="0" fontId="1" fillId="4" borderId="13" xfId="0" applyFont="1" applyFill="1" applyBorder="1">
      <alignment vertical="center"/>
    </xf>
    <xf numFmtId="1" fontId="1" fillId="2" borderId="14" xfId="0" applyNumberFormat="1" applyFont="1" applyFill="1" applyBorder="1">
      <alignment vertical="center"/>
    </xf>
    <xf numFmtId="9" fontId="1" fillId="2" borderId="0" xfId="0" applyNumberFormat="1" applyFont="1" applyFill="1">
      <alignment vertical="center"/>
    </xf>
    <xf numFmtId="1" fontId="1" fillId="2" borderId="0" xfId="0" applyNumberFormat="1" applyFont="1" applyFill="1">
      <alignment vertical="center"/>
    </xf>
    <xf numFmtId="0" fontId="1" fillId="2" borderId="15" xfId="0" applyFont="1" applyFill="1" applyBorder="1">
      <alignment vertical="center"/>
    </xf>
    <xf numFmtId="0" fontId="1" fillId="2" borderId="5" xfId="0" applyFont="1" applyFill="1" applyBorder="1">
      <alignment vertical="center"/>
    </xf>
    <xf numFmtId="1" fontId="1" fillId="2" borderId="11" xfId="0" applyNumberFormat="1" applyFont="1" applyFill="1" applyBorder="1">
      <alignment vertical="center"/>
    </xf>
    <xf numFmtId="49" fontId="1" fillId="3" borderId="16" xfId="0" applyNumberFormat="1" applyFont="1" applyFill="1" applyBorder="1">
      <alignment vertical="center"/>
    </xf>
    <xf numFmtId="0" fontId="1" fillId="2" borderId="17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1" fillId="2" borderId="18" xfId="0" applyFont="1" applyFill="1" applyBorder="1">
      <alignment vertical="center"/>
    </xf>
    <xf numFmtId="1" fontId="1" fillId="4" borderId="13" xfId="0" applyNumberFormat="1" applyFont="1" applyFill="1" applyBorder="1">
      <alignment vertical="center"/>
    </xf>
    <xf numFmtId="9" fontId="1" fillId="4" borderId="13" xfId="0" applyNumberFormat="1" applyFont="1" applyFill="1" applyBorder="1">
      <alignment vertical="center"/>
    </xf>
    <xf numFmtId="1" fontId="1" fillId="2" borderId="19" xfId="0" applyNumberFormat="1" applyFont="1" applyFill="1" applyBorder="1">
      <alignment vertical="center"/>
    </xf>
    <xf numFmtId="0" fontId="1" fillId="2" borderId="20" xfId="0" applyFont="1" applyFill="1" applyBorder="1">
      <alignment vertical="center"/>
    </xf>
    <xf numFmtId="0" fontId="1" fillId="2" borderId="21" xfId="0" applyFont="1" applyFill="1" applyBorder="1">
      <alignment vertical="center"/>
    </xf>
    <xf numFmtId="2" fontId="1" fillId="2" borderId="20" xfId="0" applyNumberFormat="1" applyFont="1" applyFill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2" fontId="1" fillId="2" borderId="0" xfId="0" applyNumberFormat="1" applyFont="1" applyFill="1">
      <alignment vertical="center"/>
    </xf>
    <xf numFmtId="0" fontId="1" fillId="2" borderId="22" xfId="0" applyFont="1" applyFill="1" applyBorder="1">
      <alignment vertical="center"/>
    </xf>
    <xf numFmtId="2" fontId="1" fillId="2" borderId="11" xfId="0" applyNumberFormat="1" applyFont="1" applyFill="1" applyBorder="1">
      <alignment vertical="center"/>
    </xf>
    <xf numFmtId="2" fontId="1" fillId="2" borderId="6" xfId="0" applyNumberFormat="1" applyFont="1" applyFill="1" applyBorder="1">
      <alignment vertical="center"/>
    </xf>
    <xf numFmtId="0" fontId="1" fillId="2" borderId="23" xfId="0" applyFont="1" applyFill="1" applyBorder="1">
      <alignment vertical="center"/>
    </xf>
    <xf numFmtId="0" fontId="1" fillId="2" borderId="19" xfId="0" applyFont="1" applyFill="1" applyBorder="1">
      <alignment vertical="center"/>
    </xf>
    <xf numFmtId="1" fontId="1" fillId="2" borderId="16" xfId="0" applyNumberFormat="1" applyFont="1" applyFill="1" applyBorder="1">
      <alignment vertical="center"/>
    </xf>
    <xf numFmtId="2" fontId="1" fillId="2" borderId="8" xfId="0" applyNumberFormat="1" applyFont="1" applyFill="1" applyBorder="1">
      <alignment vertical="center"/>
    </xf>
    <xf numFmtId="49" fontId="6" fillId="3" borderId="16" xfId="0" applyNumberFormat="1" applyFont="1" applyFill="1" applyBorder="1" applyAlignment="1">
      <alignment horizontal="center" vertical="center" wrapText="1"/>
    </xf>
    <xf numFmtId="2" fontId="1" fillId="2" borderId="17" xfId="0" applyNumberFormat="1" applyFont="1" applyFill="1" applyBorder="1">
      <alignment vertical="center"/>
    </xf>
    <xf numFmtId="2" fontId="1" fillId="2" borderId="16" xfId="0" applyNumberFormat="1" applyFont="1" applyFill="1" applyBorder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22" xfId="0" applyFont="1" applyFill="1" applyBorder="1" applyAlignment="1">
      <alignment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2" fontId="1" fillId="2" borderId="16" xfId="0" applyNumberFormat="1" applyFont="1" applyFill="1" applyBorder="1" applyAlignment="1">
      <alignment vertical="center" wrapText="1"/>
    </xf>
    <xf numFmtId="2" fontId="1" fillId="2" borderId="17" xfId="0" applyNumberFormat="1" applyFont="1" applyFill="1" applyBorder="1" applyAlignment="1">
      <alignment vertical="center" wrapText="1"/>
    </xf>
    <xf numFmtId="1" fontId="1" fillId="4" borderId="24" xfId="0" applyNumberFormat="1" applyFont="1" applyFill="1" applyBorder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" fillId="2" borderId="25" xfId="0" applyFont="1" applyFill="1" applyBorder="1">
      <alignment vertical="center"/>
    </xf>
    <xf numFmtId="2" fontId="5" fillId="2" borderId="25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1" fillId="2" borderId="26" xfId="0" applyFont="1" applyFill="1" applyBorder="1">
      <alignment vertical="center"/>
    </xf>
    <xf numFmtId="49" fontId="1" fillId="3" borderId="16" xfId="0" applyNumberFormat="1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top" wrapText="1"/>
    </xf>
    <xf numFmtId="49" fontId="1" fillId="2" borderId="16" xfId="0" applyNumberFormat="1" applyFont="1" applyFill="1" applyBorder="1">
      <alignment vertical="center"/>
    </xf>
    <xf numFmtId="49" fontId="1" fillId="2" borderId="16" xfId="0" applyNumberFormat="1" applyFont="1" applyFill="1" applyBorder="1" applyAlignment="1">
      <alignment vertical="center" wrapText="1"/>
    </xf>
    <xf numFmtId="3" fontId="1" fillId="2" borderId="16" xfId="0" applyNumberFormat="1" applyFont="1" applyFill="1" applyBorder="1">
      <alignment vertical="center"/>
    </xf>
    <xf numFmtId="3" fontId="1" fillId="5" borderId="16" xfId="0" applyNumberFormat="1" applyFont="1" applyFill="1" applyBorder="1">
      <alignment vertical="center"/>
    </xf>
    <xf numFmtId="0" fontId="1" fillId="2" borderId="16" xfId="0" applyFont="1" applyFill="1" applyBorder="1" applyAlignment="1">
      <alignment horizontal="right" vertical="center"/>
    </xf>
    <xf numFmtId="3" fontId="1" fillId="2" borderId="10" xfId="0" applyNumberFormat="1" applyFont="1" applyFill="1" applyBorder="1">
      <alignment vertical="center"/>
    </xf>
    <xf numFmtId="49" fontId="1" fillId="6" borderId="16" xfId="0" applyNumberFormat="1" applyFont="1" applyFill="1" applyBorder="1">
      <alignment vertical="center"/>
    </xf>
    <xf numFmtId="0" fontId="1" fillId="6" borderId="16" xfId="0" applyFont="1" applyFill="1" applyBorder="1">
      <alignment vertical="center"/>
    </xf>
    <xf numFmtId="3" fontId="6" fillId="6" borderId="30" xfId="0" applyNumberFormat="1" applyFont="1" applyFill="1" applyBorder="1" applyAlignment="1">
      <alignment horizontal="right" vertical="center"/>
    </xf>
    <xf numFmtId="0" fontId="1" fillId="2" borderId="31" xfId="0" applyFont="1" applyFill="1" applyBorder="1">
      <alignment vertical="center"/>
    </xf>
    <xf numFmtId="3" fontId="6" fillId="6" borderId="10" xfId="0" applyNumberFormat="1" applyFont="1" applyFill="1" applyBorder="1" applyAlignment="1">
      <alignment horizontal="right" vertical="center"/>
    </xf>
    <xf numFmtId="0" fontId="1" fillId="2" borderId="32" xfId="0" applyFont="1" applyFill="1" applyBorder="1">
      <alignment vertical="center"/>
    </xf>
    <xf numFmtId="3" fontId="6" fillId="6" borderId="16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top" wrapText="1"/>
    </xf>
    <xf numFmtId="0" fontId="1" fillId="2" borderId="20" xfId="0" applyFont="1" applyFill="1" applyBorder="1" applyAlignment="1">
      <alignment vertical="top" wrapText="1"/>
    </xf>
    <xf numFmtId="3" fontId="1" fillId="2" borderId="20" xfId="0" applyNumberFormat="1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49" fontId="1" fillId="5" borderId="0" xfId="0" applyNumberFormat="1" applyFont="1" applyFill="1" applyAlignment="1">
      <alignment horizontal="right" vertical="center" wrapText="1"/>
    </xf>
    <xf numFmtId="3" fontId="1" fillId="5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vertical="top" wrapText="1"/>
    </xf>
    <xf numFmtId="164" fontId="1" fillId="2" borderId="6" xfId="0" applyNumberFormat="1" applyFont="1" applyFill="1" applyBorder="1" applyAlignment="1">
      <alignment vertical="top" wrapText="1"/>
    </xf>
    <xf numFmtId="0" fontId="1" fillId="2" borderId="3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4" fillId="2" borderId="34" xfId="0" applyFont="1" applyFill="1" applyBorder="1" applyAlignment="1">
      <alignment vertical="top" wrapText="1"/>
    </xf>
    <xf numFmtId="1" fontId="1" fillId="2" borderId="34" xfId="0" applyNumberFormat="1" applyFont="1" applyFill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49" fontId="1" fillId="2" borderId="5" xfId="0" applyNumberFormat="1" applyFont="1" applyFill="1" applyBorder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1" fillId="2" borderId="16" xfId="0" applyNumberFormat="1" applyFont="1" applyFill="1" applyBorder="1">
      <alignment vertical="center"/>
    </xf>
    <xf numFmtId="0" fontId="1" fillId="2" borderId="16" xfId="0" applyFont="1" applyFill="1" applyBorder="1">
      <alignment vertical="center"/>
    </xf>
    <xf numFmtId="49" fontId="1" fillId="2" borderId="27" xfId="0" applyNumberFormat="1" applyFont="1" applyFill="1" applyBorder="1">
      <alignment vertical="center"/>
    </xf>
    <xf numFmtId="0" fontId="1" fillId="2" borderId="28" xfId="0" applyFont="1" applyFill="1" applyBorder="1">
      <alignment vertical="center"/>
    </xf>
    <xf numFmtId="0" fontId="1" fillId="2" borderId="29" xfId="0" applyFont="1" applyFill="1" applyBorder="1">
      <alignment vertical="center"/>
    </xf>
    <xf numFmtId="3" fontId="1" fillId="2" borderId="17" xfId="0" applyNumberFormat="1" applyFont="1" applyFill="1" applyBorder="1" applyAlignment="1">
      <alignment vertical="top" wrapText="1"/>
    </xf>
    <xf numFmtId="0" fontId="8" fillId="7" borderId="0" xfId="0" applyFont="1" applyFill="1" applyAlignment="1">
      <alignment vertical="top" wrapText="1"/>
    </xf>
    <xf numFmtId="3" fontId="8" fillId="7" borderId="0" xfId="0" applyNumberFormat="1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3" fontId="9" fillId="7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E4E4-35B7-614A-874A-08830E8C77AF}">
  <dimension ref="A1:H65"/>
  <sheetViews>
    <sheetView tabSelected="1" workbookViewId="0">
      <selection activeCell="F70" sqref="F70"/>
    </sheetView>
  </sheetViews>
  <sheetFormatPr defaultColWidth="10.796875" defaultRowHeight="13.2"/>
  <cols>
    <col min="1" max="1" width="6.796875" style="5" customWidth="1"/>
    <col min="2" max="2" width="19.5" style="5" customWidth="1"/>
    <col min="3" max="3" width="39.69921875" style="5" customWidth="1"/>
    <col min="4" max="7" width="17.5" style="5" customWidth="1"/>
    <col min="8" max="8" width="16.19921875" style="5" customWidth="1"/>
    <col min="9" max="16384" width="10.796875" style="5"/>
  </cols>
  <sheetData>
    <row r="1" spans="1:8">
      <c r="A1" s="1" t="s">
        <v>0</v>
      </c>
      <c r="B1" s="2"/>
      <c r="C1" s="2"/>
      <c r="D1" s="2"/>
      <c r="E1" s="2"/>
      <c r="F1" s="2"/>
      <c r="G1" s="3"/>
      <c r="H1" s="4"/>
    </row>
    <row r="2" spans="1:8">
      <c r="A2" s="88" t="s">
        <v>1</v>
      </c>
      <c r="B2" s="89"/>
      <c r="C2" s="89"/>
      <c r="D2" s="89"/>
      <c r="E2" s="89"/>
      <c r="F2" s="89"/>
      <c r="G2" s="90"/>
      <c r="H2" s="6"/>
    </row>
    <row r="3" spans="1:8">
      <c r="A3" s="7" t="s">
        <v>2</v>
      </c>
      <c r="B3" s="8"/>
      <c r="C3" s="8"/>
      <c r="D3" s="8"/>
      <c r="E3" s="8"/>
      <c r="F3" s="8"/>
      <c r="G3" s="9"/>
      <c r="H3" s="6"/>
    </row>
    <row r="4" spans="1:8">
      <c r="A4" s="7"/>
      <c r="B4" s="10"/>
      <c r="C4" s="10"/>
      <c r="D4" s="8"/>
      <c r="E4" s="8"/>
      <c r="F4" s="8"/>
      <c r="G4" s="9"/>
      <c r="H4" s="6"/>
    </row>
    <row r="5" spans="1:8" ht="13.8" thickBot="1">
      <c r="A5" s="11"/>
      <c r="B5" s="12" t="s">
        <v>3</v>
      </c>
      <c r="C5" s="12" t="s">
        <v>4</v>
      </c>
      <c r="D5" s="13"/>
      <c r="E5" s="14"/>
      <c r="F5" s="14"/>
      <c r="G5" s="9"/>
      <c r="H5" s="6"/>
    </row>
    <row r="6" spans="1:8" ht="14.4" thickTop="1" thickBot="1">
      <c r="A6" s="15"/>
      <c r="B6" s="16" t="s">
        <v>5</v>
      </c>
      <c r="C6" s="17">
        <v>300</v>
      </c>
      <c r="D6" s="18"/>
      <c r="E6" s="19"/>
      <c r="F6" s="20"/>
      <c r="G6" s="9"/>
      <c r="H6" s="6"/>
    </row>
    <row r="7" spans="1:8" ht="13.8" thickTop="1">
      <c r="A7" s="7"/>
      <c r="B7" s="21"/>
      <c r="C7" s="21"/>
      <c r="D7" s="8"/>
      <c r="E7" s="8"/>
      <c r="F7" s="8"/>
      <c r="G7" s="9"/>
      <c r="H7" s="6"/>
    </row>
    <row r="8" spans="1:8" ht="13.8" thickBot="1">
      <c r="A8" s="11"/>
      <c r="B8" s="12" t="s">
        <v>6</v>
      </c>
      <c r="C8" s="12" t="s">
        <v>4</v>
      </c>
      <c r="D8" s="13"/>
      <c r="E8" s="14"/>
      <c r="F8" s="14"/>
      <c r="G8" s="9"/>
      <c r="H8" s="6"/>
    </row>
    <row r="9" spans="1:8" ht="14.4" thickTop="1" thickBot="1">
      <c r="A9" s="15"/>
      <c r="B9" s="16" t="s">
        <v>7</v>
      </c>
      <c r="C9" s="17">
        <v>1200</v>
      </c>
      <c r="D9" s="18"/>
      <c r="E9" s="19"/>
      <c r="F9" s="20"/>
      <c r="G9" s="9"/>
      <c r="H9" s="6"/>
    </row>
    <row r="10" spans="1:8" ht="13.8" thickTop="1">
      <c r="A10" s="7"/>
      <c r="B10" s="21"/>
      <c r="C10" s="21"/>
      <c r="D10" s="8"/>
      <c r="E10" s="8"/>
      <c r="F10" s="8"/>
      <c r="G10" s="9"/>
      <c r="H10" s="6"/>
    </row>
    <row r="11" spans="1:8" ht="13.8" thickBot="1">
      <c r="A11" s="11"/>
      <c r="B11" s="12" t="s">
        <v>8</v>
      </c>
      <c r="C11" s="12" t="s">
        <v>4</v>
      </c>
      <c r="D11" s="13"/>
      <c r="E11" s="14"/>
      <c r="F11" s="14"/>
      <c r="G11" s="9"/>
      <c r="H11" s="6"/>
    </row>
    <row r="12" spans="1:8" ht="14.4" thickTop="1" thickBot="1">
      <c r="A12" s="15"/>
      <c r="B12" s="16" t="s">
        <v>9</v>
      </c>
      <c r="C12" s="17">
        <v>500</v>
      </c>
      <c r="D12" s="18"/>
      <c r="E12" s="19"/>
      <c r="F12" s="20"/>
      <c r="G12" s="9"/>
      <c r="H12" s="6"/>
    </row>
    <row r="13" spans="1:8" ht="13.8" thickTop="1">
      <c r="A13" s="22"/>
      <c r="B13" s="21"/>
      <c r="C13" s="21"/>
      <c r="D13" s="20"/>
      <c r="E13" s="19"/>
      <c r="F13" s="20"/>
      <c r="G13" s="9"/>
      <c r="H13" s="6"/>
    </row>
    <row r="14" spans="1:8" ht="13.8" thickBot="1">
      <c r="A14" s="11"/>
      <c r="B14" s="12" t="s">
        <v>10</v>
      </c>
      <c r="C14" s="12" t="s">
        <v>4</v>
      </c>
      <c r="D14" s="23"/>
      <c r="E14" s="19"/>
      <c r="F14" s="20"/>
      <c r="G14" s="9"/>
      <c r="H14" s="6"/>
    </row>
    <row r="15" spans="1:8" ht="14.4" thickTop="1" thickBot="1">
      <c r="A15" s="15"/>
      <c r="B15" s="16" t="s">
        <v>11</v>
      </c>
      <c r="C15" s="17">
        <v>200</v>
      </c>
      <c r="D15" s="18"/>
      <c r="E15" s="19"/>
      <c r="F15" s="20"/>
      <c r="G15" s="9"/>
      <c r="H15" s="6"/>
    </row>
    <row r="16" spans="1:8" ht="13.8" thickTop="1">
      <c r="A16" s="7"/>
      <c r="B16" s="21"/>
      <c r="C16" s="21"/>
      <c r="D16" s="10"/>
      <c r="E16" s="10"/>
      <c r="F16" s="10"/>
      <c r="G16" s="9"/>
      <c r="H16" s="6"/>
    </row>
    <row r="17" spans="1:8" ht="13.8" thickBot="1">
      <c r="A17" s="11"/>
      <c r="B17" s="24" t="s">
        <v>12</v>
      </c>
      <c r="C17" s="24" t="s">
        <v>13</v>
      </c>
      <c r="D17" s="12" t="s">
        <v>14</v>
      </c>
      <c r="E17" s="12" t="s">
        <v>15</v>
      </c>
      <c r="F17" s="24" t="s">
        <v>16</v>
      </c>
      <c r="G17" s="25"/>
      <c r="H17" s="6"/>
    </row>
    <row r="18" spans="1:8" ht="14.4" thickTop="1" thickBot="1">
      <c r="A18" s="11"/>
      <c r="B18" s="26" cm="1">
        <f t="array" ref="B18">IF(B6&lt;&gt;"",1,0)+IF(B9&lt;&gt;"",1,0)+IF(B12&lt;&gt;"",1,0)+IF(B15&lt;&gt;"",1,0)</f>
        <v>4</v>
      </c>
      <c r="C18" s="27" cm="1">
        <f t="array" ref="C18">C6+C9+C12+C15</f>
        <v>2200</v>
      </c>
      <c r="D18" s="28">
        <v>2</v>
      </c>
      <c r="E18" s="29">
        <v>0.3</v>
      </c>
      <c r="F18" s="30" cm="1">
        <f t="array" ref="F18">C18*D18</f>
        <v>4400</v>
      </c>
      <c r="G18" s="25"/>
      <c r="H18" s="6"/>
    </row>
    <row r="19" spans="1:8" ht="13.8" thickTop="1">
      <c r="A19" s="22"/>
      <c r="B19" s="31"/>
      <c r="C19" s="31"/>
      <c r="D19" s="32"/>
      <c r="E19" s="32"/>
      <c r="F19" s="33"/>
      <c r="G19" s="34"/>
      <c r="H19" s="6"/>
    </row>
    <row r="20" spans="1:8">
      <c r="A20" s="22"/>
      <c r="B20" s="8"/>
      <c r="C20" s="10"/>
      <c r="D20" s="10"/>
      <c r="E20" s="10"/>
      <c r="F20" s="35"/>
      <c r="G20" s="9"/>
      <c r="H20" s="6"/>
    </row>
    <row r="21" spans="1:8" ht="13.8" thickBot="1">
      <c r="A21" s="22"/>
      <c r="B21" s="36"/>
      <c r="C21" s="12" t="s">
        <v>17</v>
      </c>
      <c r="D21" s="24" t="s">
        <v>18</v>
      </c>
      <c r="E21" s="24" t="s">
        <v>19</v>
      </c>
      <c r="F21" s="37"/>
      <c r="G21" s="38"/>
      <c r="H21" s="6"/>
    </row>
    <row r="22" spans="1:8" ht="14.4" thickTop="1" thickBot="1">
      <c r="A22" s="22"/>
      <c r="B22" s="39"/>
      <c r="C22" s="17">
        <v>2</v>
      </c>
      <c r="D22" s="40" cm="1">
        <f t="array" ref="D22">C18*C22</f>
        <v>4400</v>
      </c>
      <c r="E22" s="41" cm="1">
        <f t="array" ref="E22">D22*52/12</f>
        <v>19066.666666666668</v>
      </c>
      <c r="F22" s="37"/>
      <c r="G22" s="9"/>
      <c r="H22" s="6"/>
    </row>
    <row r="23" spans="1:8" ht="13.8" thickTop="1">
      <c r="A23" s="22"/>
      <c r="B23" s="8"/>
      <c r="C23" s="32"/>
      <c r="D23" s="31"/>
      <c r="E23" s="31"/>
      <c r="F23" s="35"/>
      <c r="G23" s="9"/>
      <c r="H23" s="6"/>
    </row>
    <row r="24" spans="1:8">
      <c r="A24" s="22"/>
      <c r="B24" s="8"/>
      <c r="C24" s="10"/>
      <c r="D24" s="10"/>
      <c r="E24" s="10"/>
      <c r="F24" s="42"/>
      <c r="G24" s="38"/>
      <c r="H24" s="6"/>
    </row>
    <row r="25" spans="1:8" ht="52.8">
      <c r="A25" s="22"/>
      <c r="B25" s="36"/>
      <c r="C25" s="43" t="s">
        <v>20</v>
      </c>
      <c r="D25" s="43" t="s">
        <v>21</v>
      </c>
      <c r="E25" s="43" t="s">
        <v>22</v>
      </c>
      <c r="F25" s="43" t="s">
        <v>23</v>
      </c>
      <c r="G25" s="44"/>
      <c r="H25" s="6"/>
    </row>
    <row r="26" spans="1:8">
      <c r="A26" s="22"/>
      <c r="B26" s="36"/>
      <c r="C26" s="45" cm="1">
        <f t="array" ref="C26">E22*2.78/1024</f>
        <v>51.763020833333336</v>
      </c>
      <c r="D26" s="45" cm="1">
        <f t="array" ref="D26">E22*1.7</f>
        <v>32413.333333333336</v>
      </c>
      <c r="E26" s="45" cm="1">
        <f t="array" ref="E26">E22*16*1/1024+512</f>
        <v>809.91666666666674</v>
      </c>
      <c r="F26" s="45" cm="1">
        <f t="array" ref="F26">C26+E26</f>
        <v>861.67968750000011</v>
      </c>
      <c r="G26" s="44"/>
      <c r="H26" s="6"/>
    </row>
    <row r="27" spans="1:8" ht="66">
      <c r="A27" s="46"/>
      <c r="B27" s="47"/>
      <c r="C27" s="48" t="s">
        <v>24</v>
      </c>
      <c r="D27" s="48" t="s">
        <v>25</v>
      </c>
      <c r="E27" s="48" t="s">
        <v>26</v>
      </c>
      <c r="F27" s="49"/>
      <c r="G27" s="50"/>
      <c r="H27" s="6"/>
    </row>
    <row r="28" spans="1:8">
      <c r="A28" s="22"/>
      <c r="B28" s="8"/>
      <c r="C28" s="31"/>
      <c r="D28" s="31"/>
      <c r="E28" s="31"/>
      <c r="F28" s="31"/>
      <c r="G28" s="9"/>
      <c r="H28" s="6"/>
    </row>
    <row r="29" spans="1:8">
      <c r="A29" s="22"/>
      <c r="B29" s="8"/>
      <c r="C29" s="10"/>
      <c r="D29" s="10"/>
      <c r="E29" s="10"/>
      <c r="F29" s="10"/>
      <c r="G29" s="9"/>
      <c r="H29" s="6"/>
    </row>
    <row r="30" spans="1:8" ht="52.8">
      <c r="A30" s="22"/>
      <c r="B30" s="36"/>
      <c r="C30" s="43" t="s">
        <v>27</v>
      </c>
      <c r="D30" s="43" t="s">
        <v>28</v>
      </c>
      <c r="E30" s="43" t="s">
        <v>29</v>
      </c>
      <c r="F30" s="43" t="s">
        <v>30</v>
      </c>
      <c r="G30" s="44"/>
      <c r="H30" s="6"/>
    </row>
    <row r="31" spans="1:8">
      <c r="A31" s="22"/>
      <c r="B31" s="39"/>
      <c r="C31" s="51">
        <v>15</v>
      </c>
      <c r="D31" s="51"/>
      <c r="E31" s="30" cm="1">
        <f t="array" ref="E31">9.1*C31</f>
        <v>136.5</v>
      </c>
      <c r="F31" s="45" cm="1">
        <f t="array" ref="F31">E31/C31</f>
        <v>9.1</v>
      </c>
      <c r="G31" s="44"/>
      <c r="H31" s="6"/>
    </row>
    <row r="32" spans="1:8">
      <c r="A32" s="22"/>
      <c r="B32" s="52"/>
      <c r="C32" s="53"/>
      <c r="D32" s="54"/>
      <c r="E32" s="54"/>
      <c r="F32" s="54"/>
      <c r="G32" s="9"/>
      <c r="H32" s="6"/>
    </row>
    <row r="33" spans="1:8">
      <c r="A33" s="22"/>
      <c r="B33" s="52"/>
      <c r="C33" s="53"/>
      <c r="D33" s="53"/>
      <c r="E33" s="53"/>
      <c r="F33" s="55"/>
      <c r="G33" s="38"/>
      <c r="H33" s="6"/>
    </row>
    <row r="34" spans="1:8" ht="66">
      <c r="A34" s="46"/>
      <c r="B34" s="56"/>
      <c r="C34" s="43" t="s">
        <v>31</v>
      </c>
      <c r="D34" s="43" t="s">
        <v>32</v>
      </c>
      <c r="E34" s="43" t="s">
        <v>33</v>
      </c>
      <c r="F34" s="43" t="s">
        <v>34</v>
      </c>
      <c r="G34" s="50"/>
      <c r="H34" s="6"/>
    </row>
    <row r="35" spans="1:8">
      <c r="A35" s="22"/>
      <c r="B35" s="57"/>
      <c r="C35" s="45" cm="1">
        <f t="array" ref="C35">F18*F31*C31/1024</f>
        <v>586.5234375</v>
      </c>
      <c r="D35" s="45" cm="1">
        <f t="array" ref="D35">F18*E18*F31*C31/1024</f>
        <v>175.95703125</v>
      </c>
      <c r="E35" s="45" cm="1">
        <f t="array" ref="E35">E31/C31*D31*F18/1024</f>
        <v>0</v>
      </c>
      <c r="F35" s="45" cm="1">
        <f t="array" ref="F35">(D35+E35)/12</f>
        <v>14.6630859375</v>
      </c>
      <c r="G35" s="44"/>
      <c r="H35" s="6"/>
    </row>
    <row r="36" spans="1:8">
      <c r="A36" s="22"/>
      <c r="B36" s="8"/>
      <c r="C36" s="31"/>
      <c r="D36" s="31"/>
      <c r="E36" s="31"/>
      <c r="F36" s="31"/>
      <c r="G36" s="9"/>
      <c r="H36" s="6"/>
    </row>
    <row r="37" spans="1:8">
      <c r="A37" s="22"/>
      <c r="B37" s="10"/>
      <c r="C37" s="10"/>
      <c r="D37" s="10"/>
      <c r="E37" s="10"/>
      <c r="F37" s="10"/>
      <c r="G37" s="58"/>
      <c r="H37" s="6"/>
    </row>
    <row r="38" spans="1:8" ht="26.4">
      <c r="A38" s="11"/>
      <c r="B38" s="59" t="s">
        <v>35</v>
      </c>
      <c r="C38" s="59" t="s">
        <v>36</v>
      </c>
      <c r="D38" s="59" t="s">
        <v>37</v>
      </c>
      <c r="E38" s="59" t="s">
        <v>38</v>
      </c>
      <c r="F38" s="59" t="s">
        <v>39</v>
      </c>
      <c r="G38" s="59" t="s">
        <v>40</v>
      </c>
      <c r="H38" s="60"/>
    </row>
    <row r="39" spans="1:8" ht="38.4">
      <c r="A39" s="11"/>
      <c r="B39" s="61" t="s">
        <v>41</v>
      </c>
      <c r="C39" s="62" t="s">
        <v>42</v>
      </c>
      <c r="D39" s="45" cm="1">
        <f t="array" ref="D39">(0.008*(F26/730)*730)+(0.008*(F35/730)*730)+(0.0225*730)+5+19+18</f>
        <v>65.435742187499997</v>
      </c>
      <c r="E39" s="26">
        <v>1</v>
      </c>
      <c r="F39" s="41" cm="1">
        <f t="array" ref="F39">D39*E39</f>
        <v>65.435742187499997</v>
      </c>
      <c r="G39" s="63" cm="1">
        <f t="array" ref="G39">F39*12</f>
        <v>785.22890624999991</v>
      </c>
      <c r="H39" s="60"/>
    </row>
    <row r="40" spans="1:8">
      <c r="A40" s="11"/>
      <c r="B40" s="61" t="s">
        <v>43</v>
      </c>
      <c r="C40" s="26"/>
      <c r="D40" s="45" cm="1">
        <f t="array" ref="D40">(0.065*F26)+(0.114*F26)+(0.065*F35)+(0.114*F35)+(0.065*730)</f>
        <v>204.31535644531255</v>
      </c>
      <c r="E40" s="26">
        <v>1</v>
      </c>
      <c r="F40" s="41" cm="1">
        <f t="array" ref="F40">D40*E40</f>
        <v>204.31535644531255</v>
      </c>
      <c r="G40" s="63" cm="1">
        <f t="array" ref="G40">F40*12</f>
        <v>2451.7842773437505</v>
      </c>
      <c r="H40" s="60"/>
    </row>
    <row r="41" spans="1:8">
      <c r="A41" s="11"/>
      <c r="B41" s="61" t="s">
        <v>44</v>
      </c>
      <c r="C41" s="61" t="s">
        <v>45</v>
      </c>
      <c r="D41" s="45" cm="1">
        <f t="array" ref="D41">(0.276*C26*24/1.5)+(5.175*150)+(0.05*C26*24/1.5)</f>
        <v>1046.2459166666667</v>
      </c>
      <c r="E41" s="26">
        <v>1</v>
      </c>
      <c r="F41" s="41" cm="1">
        <f t="array" ref="F41">D41*E41</f>
        <v>1046.2459166666667</v>
      </c>
      <c r="G41" s="63" cm="1">
        <f t="array" ref="G41">F41*12</f>
        <v>12554.951000000001</v>
      </c>
      <c r="H41" s="60"/>
    </row>
    <row r="42" spans="1:8">
      <c r="A42" s="11"/>
      <c r="B42" s="61" t="s">
        <v>46</v>
      </c>
      <c r="C42" s="61" t="s">
        <v>47</v>
      </c>
      <c r="D42" s="45" cm="1">
        <f t="array" ref="D42">(0.005*C26*36)+(0.03*C26)+(0.03*C26)+(0.00225*C26)+(0.00002*D26)+(0.00001*D26/2)+(0.00002*D26)</f>
        <v>13.998191796875</v>
      </c>
      <c r="E42" s="26">
        <v>1</v>
      </c>
      <c r="F42" s="41" cm="1">
        <f t="array" ref="F42">D42*E42</f>
        <v>13.998191796875</v>
      </c>
      <c r="G42" s="63" cm="1">
        <f t="array" ref="G42">F42*12</f>
        <v>167.97830156250001</v>
      </c>
      <c r="H42" s="60"/>
    </row>
    <row r="43" spans="1:8" ht="39.6">
      <c r="A43" s="11"/>
      <c r="B43" s="61" t="s">
        <v>48</v>
      </c>
      <c r="C43" s="62" t="s">
        <v>49</v>
      </c>
      <c r="D43" s="45">
        <v>0</v>
      </c>
      <c r="E43" s="26">
        <v>1</v>
      </c>
      <c r="F43" s="41" cm="1">
        <f t="array" ref="F43">D43*E43</f>
        <v>0</v>
      </c>
      <c r="G43" s="63" cm="1">
        <f t="array" ref="G43">F43*12</f>
        <v>0</v>
      </c>
      <c r="H43" s="60"/>
    </row>
    <row r="44" spans="1:8">
      <c r="A44" s="11"/>
      <c r="B44" s="91" t="s">
        <v>50</v>
      </c>
      <c r="C44" s="61" t="s">
        <v>51</v>
      </c>
      <c r="D44" s="26">
        <v>99.66</v>
      </c>
      <c r="E44" s="26" cm="1">
        <f t="array" ref="E44">IF($D$22&lt;=10000,2,IF($D$22&gt;10000,4))</f>
        <v>2</v>
      </c>
      <c r="F44" s="41" cm="1">
        <f t="array" ref="F44">D44*E44</f>
        <v>199.32</v>
      </c>
      <c r="G44" s="64" cm="1">
        <f t="array" ref="G44">F44*12</f>
        <v>2391.84</v>
      </c>
      <c r="H44" s="60"/>
    </row>
    <row r="45" spans="1:8">
      <c r="A45" s="11"/>
      <c r="B45" s="92"/>
      <c r="C45" s="61" t="s">
        <v>52</v>
      </c>
      <c r="D45" s="26">
        <v>177.73</v>
      </c>
      <c r="E45" s="26" cm="1">
        <f t="array" ref="E45">IF($D$22&lt;=10000,2,IF($D$22&gt;10000,4))</f>
        <v>2</v>
      </c>
      <c r="F45" s="41" cm="1">
        <f t="array" ref="F45">D45*E45</f>
        <v>355.46</v>
      </c>
      <c r="G45" s="64" cm="1">
        <f t="array" ref="G45">F45*12</f>
        <v>4265.5199999999995</v>
      </c>
      <c r="H45" s="60"/>
    </row>
    <row r="46" spans="1:8">
      <c r="A46" s="11"/>
      <c r="B46" s="92"/>
      <c r="C46" s="61" t="s">
        <v>53</v>
      </c>
      <c r="D46" s="26">
        <v>528.69000000000005</v>
      </c>
      <c r="E46" s="26" cm="1">
        <f t="array" ref="E46">IF($D$22&lt;=10000,2,IF($D$22&gt;10000,4))</f>
        <v>2</v>
      </c>
      <c r="F46" s="41" cm="1">
        <f t="array" ref="F46">D46*E46</f>
        <v>1057.3800000000001</v>
      </c>
      <c r="G46" s="64" cm="1">
        <f t="array" ref="G46">F46*12</f>
        <v>12688.560000000001</v>
      </c>
      <c r="H46" s="60"/>
    </row>
    <row r="47" spans="1:8" ht="39.6">
      <c r="A47" s="11"/>
      <c r="B47" s="92"/>
      <c r="C47" s="62" t="s">
        <v>54</v>
      </c>
      <c r="D47" s="26">
        <v>2311.9</v>
      </c>
      <c r="E47" s="26" cm="1">
        <f t="array" ref="E47">B18</f>
        <v>4</v>
      </c>
      <c r="F47" s="41" cm="1">
        <f t="array" ref="F47">D47*E47</f>
        <v>9247.6</v>
      </c>
      <c r="G47" s="63" cm="1">
        <f t="array" ref="G47">F47*12</f>
        <v>110971.20000000001</v>
      </c>
      <c r="H47" s="60"/>
    </row>
    <row r="48" spans="1:8">
      <c r="A48" s="11"/>
      <c r="B48" s="92"/>
      <c r="C48" s="61" t="s">
        <v>55</v>
      </c>
      <c r="D48" s="26">
        <v>202.37</v>
      </c>
      <c r="E48" s="26">
        <v>1</v>
      </c>
      <c r="F48" s="41" cm="1">
        <f t="array" ref="F48">D48*E48</f>
        <v>202.37</v>
      </c>
      <c r="G48" s="64" cm="1">
        <f t="array" ref="G48">F48*12</f>
        <v>2428.44</v>
      </c>
      <c r="H48" s="60"/>
    </row>
    <row r="49" spans="1:8">
      <c r="A49" s="11"/>
      <c r="B49" s="92"/>
      <c r="C49" s="61" t="s">
        <v>56</v>
      </c>
      <c r="D49" s="26">
        <v>143.81</v>
      </c>
      <c r="E49" s="26" cm="1">
        <f t="array" ref="E49">IF($D$22&lt;=10000,1,IF($D$22&gt;10000,2))</f>
        <v>1</v>
      </c>
      <c r="F49" s="41" cm="1">
        <f t="array" ref="F49">D49*E49</f>
        <v>143.81</v>
      </c>
      <c r="G49" s="63" cm="1">
        <f t="array" ref="G49">F49*12</f>
        <v>1725.72</v>
      </c>
      <c r="H49" s="60"/>
    </row>
    <row r="50" spans="1:8">
      <c r="A50" s="11"/>
      <c r="B50" s="92"/>
      <c r="C50" s="61" t="s">
        <v>57</v>
      </c>
      <c r="D50" s="26">
        <v>0.3</v>
      </c>
      <c r="E50" s="26" cm="1">
        <f t="array" ref="E50">SUM(E44:E48)*7</f>
        <v>77</v>
      </c>
      <c r="F50" s="41" cm="1">
        <f t="array" ref="F50">D50*E50</f>
        <v>23.099999999999998</v>
      </c>
      <c r="G50" s="63" cm="1">
        <f t="array" ref="G50">F50*12</f>
        <v>277.2</v>
      </c>
      <c r="H50" s="60"/>
    </row>
    <row r="51" spans="1:8">
      <c r="A51" s="11"/>
      <c r="B51" s="93" t="s">
        <v>58</v>
      </c>
      <c r="C51" s="61" t="s">
        <v>59</v>
      </c>
      <c r="D51" s="26">
        <v>495.64</v>
      </c>
      <c r="E51" s="65" cm="1">
        <f t="array" ref="E51">B18</f>
        <v>4</v>
      </c>
      <c r="F51" s="41" cm="1">
        <f t="array" ref="F51">D51*E51</f>
        <v>1982.56</v>
      </c>
      <c r="G51" s="64" cm="1">
        <f t="array" ref="G51">F51</f>
        <v>1982.56</v>
      </c>
      <c r="H51" s="60"/>
    </row>
    <row r="52" spans="1:8">
      <c r="A52" s="11"/>
      <c r="B52" s="94"/>
      <c r="C52" s="61" t="s">
        <v>60</v>
      </c>
      <c r="D52" s="26">
        <v>826.68</v>
      </c>
      <c r="E52" s="26">
        <v>1</v>
      </c>
      <c r="F52" s="41" cm="1">
        <f t="array" ref="F52">D52*E52</f>
        <v>826.68</v>
      </c>
      <c r="G52" s="64" cm="1">
        <f t="array" ref="G52">F52</f>
        <v>826.68</v>
      </c>
      <c r="H52" s="60"/>
    </row>
    <row r="53" spans="1:8" ht="13.8" thickBot="1">
      <c r="A53" s="11"/>
      <c r="B53" s="95"/>
      <c r="C53" s="61" t="s">
        <v>61</v>
      </c>
      <c r="D53" s="45" cm="1">
        <f t="array" ref="D53">(0.008+0.065+0.114)*C35</f>
        <v>109.6798828125</v>
      </c>
      <c r="E53" s="26">
        <v>1</v>
      </c>
      <c r="F53" s="41" cm="1">
        <f t="array" ref="F53">D53*E53</f>
        <v>109.6798828125</v>
      </c>
      <c r="G53" s="66" cm="1">
        <f t="array" ref="G53">F53</f>
        <v>109.6798828125</v>
      </c>
      <c r="H53" s="60"/>
    </row>
    <row r="54" spans="1:8" ht="13.8" thickTop="1">
      <c r="A54" s="11"/>
      <c r="B54" s="67" t="s">
        <v>62</v>
      </c>
      <c r="C54" s="68"/>
      <c r="D54" s="68"/>
      <c r="E54" s="68"/>
      <c r="F54" s="68"/>
      <c r="G54" s="69" cm="1">
        <f t="array" ref="G54">SUM(G39:G53)</f>
        <v>153627.34236796875</v>
      </c>
      <c r="H54" s="96">
        <f>G54-G47</f>
        <v>42656.142367968743</v>
      </c>
    </row>
    <row r="55" spans="1:8" ht="13.8" thickBot="1">
      <c r="A55" s="70"/>
      <c r="B55" s="67" t="s">
        <v>63</v>
      </c>
      <c r="C55" s="68"/>
      <c r="D55" s="68"/>
      <c r="E55" s="68"/>
      <c r="F55" s="67"/>
      <c r="G55" s="71" cm="1">
        <f t="array" ref="G55">G54*8%</f>
        <v>12290.1873894375</v>
      </c>
      <c r="H55" s="60"/>
    </row>
    <row r="56" spans="1:8" ht="13.8" thickTop="1">
      <c r="A56" s="72"/>
      <c r="B56" s="67" t="s">
        <v>62</v>
      </c>
      <c r="C56" s="68"/>
      <c r="D56" s="68"/>
      <c r="E56" s="68"/>
      <c r="F56" s="67"/>
      <c r="G56" s="69" cm="1">
        <f t="array" ref="G56">G54-G55</f>
        <v>141337.15497853127</v>
      </c>
      <c r="H56" s="60"/>
    </row>
    <row r="57" spans="1:8">
      <c r="A57" s="72"/>
      <c r="B57" s="67"/>
      <c r="C57" s="68"/>
      <c r="D57" s="68"/>
      <c r="E57" s="68"/>
      <c r="F57" s="67"/>
      <c r="G57" s="73"/>
      <c r="H57" s="60"/>
    </row>
    <row r="58" spans="1:8">
      <c r="A58" s="72"/>
      <c r="B58" s="67" t="s">
        <v>64</v>
      </c>
      <c r="C58" s="68"/>
      <c r="D58" s="68"/>
      <c r="E58" s="68"/>
      <c r="F58" s="67"/>
      <c r="G58" s="73" cm="1">
        <f t="array" ref="G58">G54-G55-G53</f>
        <v>141227.47509571878</v>
      </c>
      <c r="H58" s="60"/>
    </row>
    <row r="59" spans="1:8">
      <c r="A59" s="74"/>
      <c r="B59" s="75"/>
      <c r="C59" s="75"/>
      <c r="D59" s="75"/>
      <c r="E59" s="75"/>
      <c r="F59" s="75"/>
      <c r="G59" s="76"/>
      <c r="H59" s="77"/>
    </row>
    <row r="60" spans="1:8" ht="26.4">
      <c r="A60" s="78"/>
      <c r="B60" s="79" t="s">
        <v>65</v>
      </c>
      <c r="C60" s="80" cm="1">
        <f t="array" ref="C60">G44+G45+G46+G48+G51+G52</f>
        <v>24583.600000000002</v>
      </c>
      <c r="D60" s="81"/>
      <c r="E60" s="81"/>
      <c r="F60" s="81"/>
      <c r="G60" s="81"/>
      <c r="H60" s="82"/>
    </row>
    <row r="61" spans="1:8">
      <c r="A61" s="83"/>
      <c r="B61" s="84"/>
      <c r="C61" s="84"/>
      <c r="D61" s="84"/>
      <c r="E61" s="85"/>
      <c r="F61" s="86"/>
      <c r="G61" s="84"/>
      <c r="H61" s="87"/>
    </row>
    <row r="62" spans="1:8" ht="13.8">
      <c r="A62" s="97"/>
      <c r="B62" s="97"/>
      <c r="C62" s="97" t="s">
        <v>69</v>
      </c>
      <c r="D62" s="97"/>
      <c r="E62" s="97"/>
      <c r="F62" s="97" t="s">
        <v>66</v>
      </c>
      <c r="G62" s="98">
        <f>G47</f>
        <v>110971.20000000001</v>
      </c>
    </row>
    <row r="63" spans="1:8" ht="13.8">
      <c r="A63" s="97"/>
      <c r="B63" s="97"/>
      <c r="C63" s="97"/>
      <c r="D63" s="97"/>
      <c r="E63" s="97"/>
      <c r="F63" s="97" t="s">
        <v>67</v>
      </c>
      <c r="G63" s="98">
        <f>G41+G42</f>
        <v>12722.929301562501</v>
      </c>
    </row>
    <row r="64" spans="1:8" ht="13.8">
      <c r="A64" s="97"/>
      <c r="B64" s="97"/>
      <c r="C64" s="97"/>
      <c r="D64" s="97"/>
      <c r="E64" s="97"/>
      <c r="F64" s="97" t="s">
        <v>68</v>
      </c>
      <c r="G64" s="98">
        <f>G54-G62-G63</f>
        <v>29933.213066406242</v>
      </c>
    </row>
    <row r="65" spans="1:7" ht="13.8">
      <c r="A65" s="97"/>
      <c r="B65" s="97"/>
      <c r="C65" s="97"/>
      <c r="D65" s="97"/>
      <c r="E65" s="97"/>
      <c r="F65" s="99" t="s">
        <v>70</v>
      </c>
      <c r="G65" s="100">
        <f>SUM(G62:G64)</f>
        <v>153627.34236796875</v>
      </c>
    </row>
  </sheetData>
  <mergeCells count="3">
    <mergeCell ref="A2:G2"/>
    <mergeCell ref="B44:B50"/>
    <mergeCell ref="B51:B53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A66FF500996874C82AFAD94F0CB466D" ma:contentTypeVersion="10" ma:contentTypeDescription="新建文档。" ma:contentTypeScope="" ma:versionID="11da4902fd18a0eeaa67f7ee45a61630">
  <xsd:schema xmlns:xsd="http://www.w3.org/2001/XMLSchema" xmlns:xs="http://www.w3.org/2001/XMLSchema" xmlns:p="http://schemas.microsoft.com/office/2006/metadata/properties" xmlns:ns2="9ffabd7d-913c-432f-a1eb-ed33e5c6c563" xmlns:ns3="ef81c41e-a06f-46d8-8485-cbecbef2903d" targetNamespace="http://schemas.microsoft.com/office/2006/metadata/properties" ma:root="true" ma:fieldsID="860285901841ed312e4e494ff3d5f2d2" ns2:_="" ns3:_="">
    <xsd:import namespace="9ffabd7d-913c-432f-a1eb-ed33e5c6c563"/>
    <xsd:import namespace="ef81c41e-a06f-46d8-8485-cbecbef29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abd7d-913c-432f-a1eb-ed33e5c6c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1c41e-a06f-46d8-8485-cbecbef290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1a83bc-7c1e-4379-8ea8-88ae1b45b599}" ma:internalName="TaxCatchAll" ma:showField="CatchAllData" ma:web="ef81c41e-a06f-46d8-8485-cbecbef29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abd7d-913c-432f-a1eb-ed33e5c6c563">
      <Terms xmlns="http://schemas.microsoft.com/office/infopath/2007/PartnerControls"/>
    </lcf76f155ced4ddcb4097134ff3c332f>
    <TaxCatchAll xmlns="ef81c41e-a06f-46d8-8485-cbecbef2903d" xsi:nil="true"/>
  </documentManagement>
</p:properties>
</file>

<file path=customXml/itemProps1.xml><?xml version="1.0" encoding="utf-8"?>
<ds:datastoreItem xmlns:ds="http://schemas.openxmlformats.org/officeDocument/2006/customXml" ds:itemID="{2D54BC5A-DECC-4195-9CD0-03B4AC8E98F9}"/>
</file>

<file path=customXml/itemProps2.xml><?xml version="1.0" encoding="utf-8"?>
<ds:datastoreItem xmlns:ds="http://schemas.openxmlformats.org/officeDocument/2006/customXml" ds:itemID="{FCF9D702-3934-4F82-8CA7-0059F52DC20A}"/>
</file>

<file path=customXml/itemProps3.xml><?xml version="1.0" encoding="utf-8"?>
<ds:datastoreItem xmlns:ds="http://schemas.openxmlformats.org/officeDocument/2006/customXml" ds:itemID="{F034BFD6-259B-4E72-B778-8B2825730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Ma, Yimin</cp:lastModifiedBy>
  <dcterms:created xsi:type="dcterms:W3CDTF">2025-04-08T09:22:46Z</dcterms:created>
  <dcterms:modified xsi:type="dcterms:W3CDTF">2025-04-29T07:53:01Z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0x0101007A66FF500996874C82AFAD94F0CB466D</vt:lpwstr>
  </property>
</Properties>
</file>