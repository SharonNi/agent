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uesmansion/Desktop/work/Apple/unified system/硬件资源评估/"/>
    </mc:Choice>
  </mc:AlternateContent>
  <xr:revisionPtr revIDLastSave="0" documentId="13_ncr:1_{2C07A42B-29F2-2B41-9C55-16FE7D9C1FB1}" xr6:coauthVersionLast="47" xr6:coauthVersionMax="47" xr10:uidLastSave="{00000000-0000-0000-0000-000000000000}"/>
  <bookViews>
    <workbookView xWindow="940" yWindow="740" windowWidth="25000" windowHeight="16100" xr2:uid="{739E1A53-C986-DD4A-9439-7B57A8A88864}"/>
  </bookViews>
  <sheets>
    <sheet name="Summary" sheetId="4" r:id="rId1"/>
    <sheet name="OR" sheetId="1" r:id="rId2"/>
    <sheet name="I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4" l="1"/>
  <c r="O3" i="4"/>
  <c r="O6" i="4"/>
  <c r="N6" i="4"/>
  <c r="O5" i="4"/>
  <c r="N5" i="4"/>
  <c r="N4" i="4"/>
  <c r="N3" i="4"/>
  <c r="M6" i="4"/>
  <c r="L6" i="4"/>
  <c r="M5" i="4"/>
  <c r="L5" i="4"/>
  <c r="M4" i="4"/>
  <c r="L4" i="4"/>
  <c r="M3" i="4"/>
  <c r="L3" i="4"/>
  <c r="K6" i="4"/>
  <c r="J6" i="4"/>
  <c r="K5" i="4"/>
  <c r="J5" i="4"/>
  <c r="K4" i="4"/>
  <c r="J4" i="4"/>
  <c r="K3" i="4"/>
  <c r="J3" i="4"/>
  <c r="I6" i="4"/>
  <c r="H6" i="4"/>
  <c r="I5" i="4"/>
  <c r="H5" i="4"/>
  <c r="I4" i="4"/>
  <c r="H4" i="4"/>
  <c r="I3" i="4"/>
  <c r="H3" i="4"/>
  <c r="G6" i="4"/>
  <c r="F6" i="4"/>
  <c r="G5" i="4"/>
  <c r="F5" i="4"/>
  <c r="G4" i="4"/>
  <c r="F4" i="4"/>
  <c r="G3" i="4"/>
  <c r="F3" i="4"/>
  <c r="P25" i="1"/>
  <c r="E6" i="4"/>
  <c r="E5" i="4"/>
  <c r="E4" i="4"/>
  <c r="E3" i="4"/>
  <c r="U24" i="3"/>
  <c r="U23" i="3"/>
  <c r="U22" i="3"/>
  <c r="P24" i="3"/>
  <c r="P23" i="3"/>
  <c r="P22" i="3"/>
  <c r="K24" i="3"/>
  <c r="K23" i="3"/>
  <c r="K22" i="3"/>
  <c r="F24" i="3"/>
  <c r="F23" i="3"/>
  <c r="F22" i="3"/>
  <c r="C5" i="4"/>
  <c r="U24" i="1" l="1"/>
  <c r="U23" i="1"/>
  <c r="U22" i="1"/>
  <c r="C6" i="4" s="1"/>
  <c r="P24" i="1"/>
  <c r="P23" i="1"/>
  <c r="P22" i="1"/>
  <c r="K24" i="1"/>
  <c r="K23" i="1"/>
  <c r="K22" i="1"/>
  <c r="C4" i="4" s="1"/>
  <c r="F24" i="1"/>
  <c r="F23" i="1"/>
  <c r="F22" i="1"/>
  <c r="C3" i="4" s="1"/>
  <c r="E8" i="3"/>
  <c r="F8" i="3"/>
  <c r="J8" i="3"/>
  <c r="K8" i="3"/>
  <c r="O8" i="3"/>
  <c r="P8" i="3"/>
  <c r="P19" i="3" s="1"/>
  <c r="P21" i="3" s="1"/>
  <c r="T8" i="3"/>
  <c r="U8" i="3"/>
  <c r="U19" i="3" s="1"/>
  <c r="U21" i="3" s="1"/>
  <c r="E9" i="3"/>
  <c r="F9" i="3"/>
  <c r="J9" i="3"/>
  <c r="K9" i="3"/>
  <c r="O9" i="3"/>
  <c r="P9" i="3"/>
  <c r="T9" i="3"/>
  <c r="U9" i="3"/>
  <c r="E10" i="3"/>
  <c r="F10" i="3"/>
  <c r="J10" i="3"/>
  <c r="K10" i="3"/>
  <c r="O10" i="3"/>
  <c r="P10" i="3"/>
  <c r="T10" i="3"/>
  <c r="U10" i="3"/>
  <c r="E11" i="3"/>
  <c r="F11" i="3"/>
  <c r="J11" i="3"/>
  <c r="K11" i="3"/>
  <c r="O11" i="3"/>
  <c r="P11" i="3"/>
  <c r="P20" i="3" s="1"/>
  <c r="T11" i="3"/>
  <c r="U11" i="3"/>
  <c r="U20" i="3" s="1"/>
  <c r="E12" i="3"/>
  <c r="F12" i="3"/>
  <c r="J12" i="3"/>
  <c r="K12" i="3"/>
  <c r="O12" i="3"/>
  <c r="P12" i="3"/>
  <c r="T12" i="3"/>
  <c r="U12" i="3"/>
  <c r="E13" i="3"/>
  <c r="F13" i="3"/>
  <c r="J13" i="3"/>
  <c r="K13" i="3"/>
  <c r="O13" i="3"/>
  <c r="P13" i="3"/>
  <c r="T13" i="3"/>
  <c r="U13" i="3"/>
  <c r="E14" i="3"/>
  <c r="F14" i="3"/>
  <c r="K14" i="3"/>
  <c r="O14" i="3"/>
  <c r="P14" i="3"/>
  <c r="T14" i="3"/>
  <c r="F19" i="3"/>
  <c r="F21" i="3" s="1"/>
  <c r="K19" i="3"/>
  <c r="K21" i="3" s="1"/>
  <c r="F20" i="3"/>
  <c r="K20" i="3"/>
  <c r="T14" i="1" l="1"/>
  <c r="T13" i="1"/>
  <c r="U13" i="1" s="1"/>
  <c r="T12" i="1"/>
  <c r="U12" i="1" s="1"/>
  <c r="T11" i="1"/>
  <c r="U11" i="1" s="1"/>
  <c r="T10" i="1"/>
  <c r="U10" i="1" s="1"/>
  <c r="T9" i="1"/>
  <c r="U9" i="1" s="1"/>
  <c r="T8" i="1"/>
  <c r="U8" i="1" s="1"/>
  <c r="O14" i="1"/>
  <c r="P14" i="1" s="1"/>
  <c r="O13" i="1"/>
  <c r="P13" i="1" s="1"/>
  <c r="O12" i="1"/>
  <c r="P12" i="1" s="1"/>
  <c r="O11" i="1"/>
  <c r="P11" i="1" s="1"/>
  <c r="O10" i="1"/>
  <c r="P10" i="1" s="1"/>
  <c r="O9" i="1"/>
  <c r="O8" i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P9" i="1"/>
  <c r="P8" i="1"/>
  <c r="K14" i="1"/>
  <c r="F26" i="1" l="1"/>
  <c r="F20" i="1"/>
  <c r="U19" i="1"/>
  <c r="U20" i="1"/>
  <c r="U26" i="1"/>
  <c r="P20" i="1"/>
  <c r="P26" i="1"/>
  <c r="K20" i="1"/>
  <c r="K26" i="1"/>
  <c r="K19" i="1"/>
  <c r="F19" i="1"/>
  <c r="P19" i="1"/>
  <c r="K21" i="1" l="1"/>
  <c r="B4" i="4"/>
  <c r="K25" i="1"/>
  <c r="P21" i="1"/>
  <c r="B5" i="4"/>
  <c r="F21" i="1"/>
  <c r="F25" i="1"/>
  <c r="B3" i="4"/>
  <c r="U25" i="1"/>
  <c r="B6" i="4"/>
  <c r="U21" i="1"/>
  <c r="D3" i="4" l="1"/>
  <c r="F27" i="1"/>
  <c r="K27" i="1"/>
  <c r="D4" i="4"/>
  <c r="P27" i="1"/>
  <c r="D5" i="4"/>
  <c r="U27" i="1"/>
  <c r="D6" i="4"/>
</calcChain>
</file>

<file path=xl/sharedStrings.xml><?xml version="1.0" encoding="utf-8"?>
<sst xmlns="http://schemas.openxmlformats.org/spreadsheetml/2006/main" count="277" uniqueCount="60">
  <si>
    <t>Plan A - 1</t>
  </si>
  <si>
    <t>Plan A - 2</t>
  </si>
  <si>
    <t>Plan B - 1</t>
  </si>
  <si>
    <t>Plan B - 2</t>
  </si>
  <si>
    <t>项目
Item</t>
  </si>
  <si>
    <t>配置
Configuration</t>
  </si>
  <si>
    <t>单价/月
Unit Cost/Month</t>
  </si>
  <si>
    <t>数量
Qty.</t>
  </si>
  <si>
    <t>月成本（USD）
Cost / Month (USD)</t>
  </si>
  <si>
    <t>年成本（USD）
Cost / Year (USD)</t>
  </si>
  <si>
    <t>External Line Bandwidth</t>
  </si>
  <si>
    <t>Elastic Load Balancing - ALB Layer 7 （开启WAF：19个规则，1个ACL，每月3000万的求）</t>
  </si>
  <si>
    <t>Gateway - NAT</t>
  </si>
  <si>
    <t>FSx - Storage</t>
  </si>
  <si>
    <t>多可用区域部署 / SSD</t>
  </si>
  <si>
    <t>S3 - Storage</t>
  </si>
  <si>
    <t>S3 Glacier Instant Retrieval</t>
  </si>
  <si>
    <t>AWS Systems Manager</t>
  </si>
  <si>
    <t>On-Premises Instance Management（启用标准吞吐量API交互）；
Parameter Store（标准实例套餐）</t>
  </si>
  <si>
    <t>Server</t>
  </si>
  <si>
    <t>Nginx（c7i.large|2v|4G|128G）</t>
  </si>
  <si>
    <t>AD（c7i.large|2v|4G|200G）</t>
  </si>
  <si>
    <t>Web Server（r7i.large|4v|32G|1T）</t>
  </si>
  <si>
    <t>RDS with SQL Server（db.m5.2xlarge|8v|32G|1T|4000IOPS|Always On|SQL2022标准版）</t>
  </si>
  <si>
    <t>MS SQL Server（r7i.2xlarge|8v|64G|1T）</t>
  </si>
  <si>
    <t>MS SQL Server（r7i.2xlarge|8v|64G|1T|包含SQL2022标准版许可）</t>
  </si>
  <si>
    <t>Job Server（m7i.large|4v|16G|256G）</t>
  </si>
  <si>
    <t>Redis（m5.large|2v|6.38G|）</t>
  </si>
  <si>
    <t>CloudWatch</t>
  </si>
  <si>
    <t>Other</t>
  </si>
  <si>
    <t>License ：SQL Server 2022 standard （one time cost）</t>
  </si>
  <si>
    <t>System Domain Name &amp; SSL</t>
  </si>
  <si>
    <t>Short link Domain Name &amp; Email</t>
  </si>
  <si>
    <t>Initiation Training traffic</t>
  </si>
  <si>
    <t>RDS with SQL Server（db.m5.xlarge|4v|16G|200GB|1000IOPS|Always On|SQL2022标准版）</t>
  </si>
  <si>
    <t>TTL</t>
  </si>
  <si>
    <t>TTL without DB</t>
  </si>
  <si>
    <t>DB</t>
  </si>
  <si>
    <t>OR</t>
  </si>
  <si>
    <t>IR</t>
  </si>
  <si>
    <t>OR - 2nd year</t>
  </si>
  <si>
    <t>IR - 2nd year</t>
  </si>
  <si>
    <t>Option</t>
  </si>
  <si>
    <t>1st Year</t>
  </si>
  <si>
    <t>A - 2 ( RDS * 4 )</t>
  </si>
  <si>
    <t>B - 1 ( EC2 BYOL *1 )</t>
  </si>
  <si>
    <t>A - 1  ( RDS * 1 )</t>
  </si>
  <si>
    <t>B - 2 ( EC2 with AWS SQL * 1 )</t>
  </si>
  <si>
    <t>Total 1 Year</t>
  </si>
  <si>
    <t xml:space="preserve"> IR</t>
  </si>
  <si>
    <t>Total 2 Years</t>
  </si>
  <si>
    <t>Total 3 Years</t>
  </si>
  <si>
    <t>Total 5 Years</t>
  </si>
  <si>
    <t>Total 8 Years</t>
  </si>
  <si>
    <t>From 2nd Year</t>
  </si>
  <si>
    <t>A - 1 : 1 RDS with high performanc supports 4 countries</t>
  </si>
  <si>
    <t>B - 1 : 1 EC2 without SQL Server license ( which S1 bring own license ) supports 4 countries</t>
  </si>
  <si>
    <t>B - 2 : 1 EC2 with SQL Server license from AWS supports 4 countries</t>
  </si>
  <si>
    <t>REMARK</t>
  </si>
  <si>
    <t>A - 2 : 4 RDS with low performance supports 4 countries separately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</si>
</sst>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¥&quot;* #,##0.00_);_(&quot;¥&quot;* \(#,##0.00\);_(&quot;¥&quot;* &quot;-&quot;??_);_(@_)"/>
    <numFmt numFmtId="164" formatCode="0.00000000"/>
    <numFmt numFmtId="165" formatCode="0.000"/>
    <numFmt numFmtId="166" formatCode="_([$$-409]* #,##0.00_);_([$$-409]* \(#,##0.00\);_([$$-409]* &quot;-&quot;??_);_(@_)"/>
  </numFmts>
  <fonts count="5" x14ac:knownFonts="1">
    <font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theme="1"/>
      <name val="Helvetica Neue"/>
      <family val="2"/>
    </font>
    <font>
      <sz val="12"/>
      <color indexed="8"/>
      <name val="Helvetica Neue"/>
      <family val="2"/>
    </font>
    <font>
      <i/>
      <sz val="11"/>
      <color indexed="8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4" fontId="1" fillId="0" borderId="0" applyFont="0" applyFill="0" applyBorder="0" applyAlignment="0" applyProtection="0"/>
  </cellStyleXfs>
  <cellXfs count="41">
    <xf numFmtId="0" fontId="0" fillId="0" borderId="0" xfId="0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6" borderId="1" xfId="0" applyNumberFormat="1" applyFill="1" applyBorder="1" applyAlignment="1">
      <alignment horizontal="center" vertical="center" wrapText="1"/>
    </xf>
    <xf numFmtId="0" fontId="0" fillId="0" borderId="1" xfId="0" applyBorder="1">
      <alignment vertical="top" wrapText="1"/>
    </xf>
    <xf numFmtId="0" fontId="0" fillId="0" borderId="1" xfId="0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0" xfId="0" applyFont="1" applyFill="1">
      <alignment vertical="top" wrapText="1"/>
    </xf>
    <xf numFmtId="166" fontId="3" fillId="7" borderId="1" xfId="1" applyNumberFormat="1" applyFont="1" applyFill="1" applyBorder="1" applyAlignment="1">
      <alignment horizontal="center" vertical="center" wrapText="1"/>
    </xf>
    <xf numFmtId="166" fontId="3" fillId="7" borderId="1" xfId="0" applyNumberFormat="1" applyFont="1" applyFill="1" applyBorder="1">
      <alignment vertical="top" wrapText="1"/>
    </xf>
    <xf numFmtId="2" fontId="3" fillId="7" borderId="0" xfId="0" applyNumberFormat="1" applyFont="1" applyFill="1">
      <alignment vertical="top" wrapText="1"/>
    </xf>
    <xf numFmtId="0" fontId="3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2" fontId="3" fillId="7" borderId="0" xfId="0" applyNumberFormat="1" applyFont="1" applyFill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1BBA-1C89-C84A-AE16-ADB9E9DDDBE6}">
  <dimension ref="A1:O15"/>
  <sheetViews>
    <sheetView tabSelected="1" workbookViewId="0">
      <selection activeCell="A9" sqref="A9"/>
    </sheetView>
  </sheetViews>
  <sheetFormatPr baseColWidth="10" defaultRowHeight="16" x14ac:dyDescent="0.15"/>
  <cols>
    <col min="1" max="1" width="29.5" style="26" customWidth="1"/>
    <col min="2" max="5" width="15" style="26" customWidth="1"/>
    <col min="6" max="15" width="18.83203125" style="26" customWidth="1"/>
    <col min="16" max="16384" width="10.83203125" style="26"/>
  </cols>
  <sheetData>
    <row r="1" spans="1:15" ht="18" customHeight="1" x14ac:dyDescent="0.15">
      <c r="A1" s="35" t="s">
        <v>42</v>
      </c>
      <c r="B1" s="35" t="s">
        <v>43</v>
      </c>
      <c r="C1" s="35"/>
      <c r="D1" s="35" t="s">
        <v>54</v>
      </c>
      <c r="E1" s="35"/>
      <c r="F1" s="34" t="s">
        <v>48</v>
      </c>
      <c r="G1" s="34"/>
      <c r="H1" s="34" t="s">
        <v>50</v>
      </c>
      <c r="I1" s="34"/>
      <c r="J1" s="34" t="s">
        <v>51</v>
      </c>
      <c r="K1" s="34"/>
      <c r="L1" s="34" t="s">
        <v>52</v>
      </c>
      <c r="M1" s="34"/>
      <c r="N1" s="34" t="s">
        <v>53</v>
      </c>
      <c r="O1" s="34"/>
    </row>
    <row r="2" spans="1:15" ht="18" customHeight="1" x14ac:dyDescent="0.15">
      <c r="A2" s="35"/>
      <c r="B2" s="25" t="s">
        <v>38</v>
      </c>
      <c r="C2" s="25" t="s">
        <v>49</v>
      </c>
      <c r="D2" s="25" t="s">
        <v>38</v>
      </c>
      <c r="E2" s="25" t="s">
        <v>39</v>
      </c>
      <c r="F2" s="25" t="s">
        <v>38</v>
      </c>
      <c r="G2" s="25" t="s">
        <v>39</v>
      </c>
      <c r="H2" s="25" t="s">
        <v>38</v>
      </c>
      <c r="I2" s="25" t="s">
        <v>39</v>
      </c>
      <c r="J2" s="25" t="s">
        <v>38</v>
      </c>
      <c r="K2" s="25" t="s">
        <v>39</v>
      </c>
      <c r="L2" s="25" t="s">
        <v>38</v>
      </c>
      <c r="M2" s="25" t="s">
        <v>39</v>
      </c>
      <c r="N2" s="25" t="s">
        <v>38</v>
      </c>
      <c r="O2" s="25" t="s">
        <v>39</v>
      </c>
    </row>
    <row r="3" spans="1:15" ht="18" customHeight="1" x14ac:dyDescent="0.15">
      <c r="A3" s="25" t="s">
        <v>46</v>
      </c>
      <c r="B3" s="27">
        <f>OR!F19</f>
        <v>108445.06628828125</v>
      </c>
      <c r="C3" s="27">
        <f>OR!F22</f>
        <v>100555.54628828124</v>
      </c>
      <c r="D3" s="27">
        <f>OR!F25</f>
        <v>108290.5173625</v>
      </c>
      <c r="E3" s="27">
        <f>IR!F22</f>
        <v>100400.9973625</v>
      </c>
      <c r="F3" s="28">
        <f>B3</f>
        <v>108445.06628828125</v>
      </c>
      <c r="G3" s="28">
        <f>C3</f>
        <v>100555.54628828124</v>
      </c>
      <c r="H3" s="28">
        <f>B3+D3*1</f>
        <v>216735.58365078125</v>
      </c>
      <c r="I3" s="28">
        <f>C3+E3*1</f>
        <v>200956.54365078124</v>
      </c>
      <c r="J3" s="28">
        <f>B3+D3*2</f>
        <v>325026.10101328127</v>
      </c>
      <c r="K3" s="28">
        <f>C3+E3*2</f>
        <v>301357.54101328121</v>
      </c>
      <c r="L3" s="28">
        <f>B3+D3*4</f>
        <v>541607.1357382813</v>
      </c>
      <c r="M3" s="28">
        <f>C3+E3*4</f>
        <v>502159.53573828121</v>
      </c>
      <c r="N3" s="28">
        <f>B3+D3*7</f>
        <v>866478.68782578129</v>
      </c>
      <c r="O3" s="28">
        <f>C3+E3*7</f>
        <v>803362.52782578114</v>
      </c>
    </row>
    <row r="4" spans="1:15" ht="18" customHeight="1" x14ac:dyDescent="0.15">
      <c r="A4" s="25" t="s">
        <v>44</v>
      </c>
      <c r="B4" s="27">
        <f>OR!K19</f>
        <v>154925.14628828128</v>
      </c>
      <c r="C4" s="27">
        <f>OR!K22</f>
        <v>147035.62628828129</v>
      </c>
      <c r="D4" s="27">
        <f>OR!K25</f>
        <v>154770.59736250003</v>
      </c>
      <c r="E4" s="27">
        <f>IR!K22</f>
        <v>146881.07736250004</v>
      </c>
      <c r="F4" s="28">
        <f t="shared" ref="F4:F6" si="0">B4</f>
        <v>154925.14628828128</v>
      </c>
      <c r="G4" s="28">
        <f t="shared" ref="G4:G6" si="1">C4</f>
        <v>147035.62628828129</v>
      </c>
      <c r="H4" s="28">
        <f t="shared" ref="H4:H6" si="2">B4+D4*1</f>
        <v>309695.74365078134</v>
      </c>
      <c r="I4" s="28">
        <f t="shared" ref="I4:I6" si="3">C4+E4*1</f>
        <v>293916.7036507813</v>
      </c>
      <c r="J4" s="28">
        <f t="shared" ref="J4:J6" si="4">B4+D4*2</f>
        <v>464466.34101328137</v>
      </c>
      <c r="K4" s="28">
        <f t="shared" ref="K4:K6" si="5">C4+E4*2</f>
        <v>440797.78101328138</v>
      </c>
      <c r="L4" s="28">
        <f t="shared" ref="L4:L6" si="6">B4+D4*4</f>
        <v>774007.53573828144</v>
      </c>
      <c r="M4" s="28">
        <f t="shared" ref="M4:M6" si="7">C4+E4*4</f>
        <v>734559.93573828146</v>
      </c>
      <c r="N4" s="28">
        <f t="shared" ref="N4:N6" si="8">B4+D4*7</f>
        <v>1238319.3278257814</v>
      </c>
      <c r="O4" s="28">
        <f>C4+E4*7</f>
        <v>1175203.1678257817</v>
      </c>
    </row>
    <row r="5" spans="1:15" ht="18" customHeight="1" x14ac:dyDescent="0.15">
      <c r="A5" s="25" t="s">
        <v>45</v>
      </c>
      <c r="B5" s="27">
        <f>OR!P19</f>
        <v>72872.386288281239</v>
      </c>
      <c r="C5" s="27">
        <f>OR!P22</f>
        <v>63089.866288281257</v>
      </c>
      <c r="D5" s="27">
        <f>OR!P25</f>
        <v>53691.837362499988</v>
      </c>
      <c r="E5" s="27">
        <f>IR!P22</f>
        <v>43909.317362500005</v>
      </c>
      <c r="F5" s="28">
        <f t="shared" si="0"/>
        <v>72872.386288281239</v>
      </c>
      <c r="G5" s="28">
        <f t="shared" si="1"/>
        <v>63089.866288281257</v>
      </c>
      <c r="H5" s="28">
        <f t="shared" si="2"/>
        <v>126564.22365078123</v>
      </c>
      <c r="I5" s="28">
        <f t="shared" si="3"/>
        <v>106999.18365078125</v>
      </c>
      <c r="J5" s="28">
        <f t="shared" si="4"/>
        <v>180256.06101328123</v>
      </c>
      <c r="K5" s="28">
        <f t="shared" si="5"/>
        <v>150908.50101328126</v>
      </c>
      <c r="L5" s="28">
        <f t="shared" si="6"/>
        <v>287639.73573828116</v>
      </c>
      <c r="M5" s="28">
        <f t="shared" si="7"/>
        <v>238727.13573828127</v>
      </c>
      <c r="N5" s="28">
        <f t="shared" si="8"/>
        <v>448715.24782578117</v>
      </c>
      <c r="O5" s="28">
        <f t="shared" ref="O5:O6" si="9">C5+E5*7</f>
        <v>370455.08782578132</v>
      </c>
    </row>
    <row r="6" spans="1:15" ht="18" customHeight="1" x14ac:dyDescent="0.15">
      <c r="A6" s="25" t="s">
        <v>47</v>
      </c>
      <c r="B6" s="27">
        <f>OR!U19</f>
        <v>62255.986288281259</v>
      </c>
      <c r="C6" s="27">
        <f>OR!U22</f>
        <v>52473.466288281255</v>
      </c>
      <c r="D6" s="27">
        <f>OR!U25</f>
        <v>62101.437362500008</v>
      </c>
      <c r="E6" s="27">
        <f>IR!U22</f>
        <v>52318.917362500004</v>
      </c>
      <c r="F6" s="28">
        <f t="shared" si="0"/>
        <v>62255.986288281259</v>
      </c>
      <c r="G6" s="28">
        <f t="shared" si="1"/>
        <v>52473.466288281255</v>
      </c>
      <c r="H6" s="28">
        <f t="shared" si="2"/>
        <v>124357.42365078127</v>
      </c>
      <c r="I6" s="28">
        <f t="shared" si="3"/>
        <v>104792.38365078127</v>
      </c>
      <c r="J6" s="28">
        <f t="shared" si="4"/>
        <v>186458.86101328128</v>
      </c>
      <c r="K6" s="28">
        <f t="shared" si="5"/>
        <v>157111.30101328128</v>
      </c>
      <c r="L6" s="28">
        <f t="shared" si="6"/>
        <v>310661.73573828128</v>
      </c>
      <c r="M6" s="28">
        <f t="shared" si="7"/>
        <v>261749.13573828127</v>
      </c>
      <c r="N6" s="28">
        <f t="shared" si="8"/>
        <v>496966.04782578134</v>
      </c>
      <c r="O6" s="28">
        <f t="shared" si="9"/>
        <v>418705.8878257813</v>
      </c>
    </row>
    <row r="9" spans="1:15" x14ac:dyDescent="0.15">
      <c r="B9" s="29"/>
    </row>
    <row r="10" spans="1:15" ht="18" customHeight="1" x14ac:dyDescent="0.15">
      <c r="A10" s="30"/>
      <c r="B10" s="30"/>
      <c r="C10" s="30"/>
    </row>
    <row r="11" spans="1:15" ht="18" customHeight="1" x14ac:dyDescent="0.15">
      <c r="A11" s="31" t="s">
        <v>58</v>
      </c>
      <c r="B11" s="30"/>
      <c r="C11" s="30"/>
    </row>
    <row r="12" spans="1:15" ht="18" customHeight="1" x14ac:dyDescent="0.15">
      <c r="A12" s="32" t="s">
        <v>55</v>
      </c>
      <c r="B12" s="30"/>
      <c r="C12" s="33"/>
    </row>
    <row r="13" spans="1:15" ht="18" customHeight="1" x14ac:dyDescent="0.15">
      <c r="A13" s="32" t="s">
        <v>59</v>
      </c>
      <c r="B13" s="30"/>
      <c r="C13" s="33"/>
    </row>
    <row r="14" spans="1:15" ht="18" customHeight="1" x14ac:dyDescent="0.15">
      <c r="A14" s="32" t="s">
        <v>56</v>
      </c>
      <c r="B14" s="33"/>
      <c r="C14" s="30"/>
    </row>
    <row r="15" spans="1:15" ht="18" customHeight="1" x14ac:dyDescent="0.15">
      <c r="A15" s="32" t="s">
        <v>57</v>
      </c>
      <c r="B15" s="33"/>
      <c r="C15" s="30"/>
    </row>
  </sheetData>
  <mergeCells count="8">
    <mergeCell ref="L1:M1"/>
    <mergeCell ref="N1:O1"/>
    <mergeCell ref="B1:C1"/>
    <mergeCell ref="D1:E1"/>
    <mergeCell ref="A1:A2"/>
    <mergeCell ref="F1:G1"/>
    <mergeCell ref="H1:I1"/>
    <mergeCell ref="J1:K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9D8F-0D4E-2D42-8EDA-014B10A273B9}">
  <dimension ref="A1:U30"/>
  <sheetViews>
    <sheetView topLeftCell="A12" workbookViewId="0">
      <selection activeCell="A19" sqref="A19:A21"/>
    </sheetView>
  </sheetViews>
  <sheetFormatPr baseColWidth="10" defaultRowHeight="13" x14ac:dyDescent="0.15"/>
  <cols>
    <col min="1" max="1" width="18.33203125" style="7" customWidth="1"/>
    <col min="2" max="2" width="18.6640625" customWidth="1"/>
    <col min="3" max="3" width="14" bestFit="1" customWidth="1"/>
    <col min="4" max="4" width="11.1640625" bestFit="1" customWidth="1"/>
    <col min="5" max="5" width="14.6640625" customWidth="1"/>
    <col min="6" max="6" width="13.83203125" bestFit="1" customWidth="1"/>
    <col min="7" max="7" width="19" customWidth="1"/>
    <col min="8" max="8" width="11.6640625" bestFit="1" customWidth="1"/>
    <col min="9" max="9" width="11.1640625" bestFit="1" customWidth="1"/>
    <col min="10" max="10" width="15.83203125" customWidth="1"/>
    <col min="11" max="11" width="13.83203125" bestFit="1" customWidth="1"/>
    <col min="12" max="12" width="22" style="8" customWidth="1"/>
    <col min="13" max="13" width="16.83203125" style="7" customWidth="1"/>
    <col min="14" max="14" width="16.5" style="7" customWidth="1"/>
    <col min="15" max="15" width="15.6640625" style="7" customWidth="1"/>
    <col min="16" max="16" width="16.33203125" style="7" customWidth="1"/>
    <col min="17" max="17" width="23.1640625" customWidth="1"/>
    <col min="18" max="18" width="11.6640625" bestFit="1" customWidth="1"/>
    <col min="19" max="19" width="11.1640625" bestFit="1" customWidth="1"/>
    <col min="20" max="20" width="15.1640625" customWidth="1"/>
    <col min="21" max="21" width="14.33203125" customWidth="1"/>
  </cols>
  <sheetData>
    <row r="1" spans="1:21" ht="22" customHeight="1" x14ac:dyDescent="0.15">
      <c r="A1" s="1"/>
      <c r="B1" s="39" t="s">
        <v>0</v>
      </c>
      <c r="C1" s="39"/>
      <c r="D1" s="39"/>
      <c r="E1" s="39"/>
      <c r="F1" s="39"/>
      <c r="G1" s="40" t="s">
        <v>1</v>
      </c>
      <c r="H1" s="40"/>
      <c r="I1" s="40"/>
      <c r="J1" s="40"/>
      <c r="K1" s="40"/>
      <c r="L1" s="37" t="s">
        <v>2</v>
      </c>
      <c r="M1" s="37"/>
      <c r="N1" s="37"/>
      <c r="O1" s="37"/>
      <c r="P1" s="37"/>
      <c r="Q1" s="38" t="s">
        <v>3</v>
      </c>
      <c r="R1" s="38"/>
      <c r="S1" s="38"/>
      <c r="T1" s="38"/>
      <c r="U1" s="38"/>
    </row>
    <row r="2" spans="1:21" ht="42" x14ac:dyDescent="0.1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5" t="s">
        <v>5</v>
      </c>
      <c r="R2" s="5" t="s">
        <v>6</v>
      </c>
      <c r="S2" s="5" t="s">
        <v>7</v>
      </c>
      <c r="T2" s="5" t="s">
        <v>8</v>
      </c>
      <c r="U2" s="5" t="s">
        <v>9</v>
      </c>
    </row>
    <row r="3" spans="1:21" ht="70" x14ac:dyDescent="0.15">
      <c r="A3" s="1" t="s">
        <v>10</v>
      </c>
      <c r="B3" s="2" t="s">
        <v>11</v>
      </c>
      <c r="C3" s="12">
        <v>64.657214843749998</v>
      </c>
      <c r="D3" s="12">
        <v>1</v>
      </c>
      <c r="E3" s="12">
        <v>64.657214843749998</v>
      </c>
      <c r="F3" s="12">
        <v>775.88657812499991</v>
      </c>
      <c r="G3" s="13" t="s">
        <v>11</v>
      </c>
      <c r="H3" s="13">
        <v>64.657214843749998</v>
      </c>
      <c r="I3" s="13">
        <v>1</v>
      </c>
      <c r="J3" s="13">
        <v>64.657214843749998</v>
      </c>
      <c r="K3" s="13">
        <v>775.88657812499991</v>
      </c>
      <c r="L3" s="14" t="s">
        <v>11</v>
      </c>
      <c r="M3" s="14">
        <v>64.657214843749998</v>
      </c>
      <c r="N3" s="14">
        <v>1</v>
      </c>
      <c r="O3" s="14">
        <v>64.657214843749998</v>
      </c>
      <c r="P3" s="14">
        <v>775.88657812500003</v>
      </c>
      <c r="Q3" s="15" t="s">
        <v>11</v>
      </c>
      <c r="R3" s="15">
        <v>64.657214843749998</v>
      </c>
      <c r="S3" s="15">
        <v>1</v>
      </c>
      <c r="T3" s="15">
        <v>64.657214843749998</v>
      </c>
      <c r="U3" s="15">
        <v>775.88657812500003</v>
      </c>
    </row>
    <row r="4" spans="1:21" ht="23" customHeight="1" x14ac:dyDescent="0.15">
      <c r="A4" s="1" t="s">
        <v>12</v>
      </c>
      <c r="B4" s="2"/>
      <c r="C4" s="12">
        <v>186.89580712890626</v>
      </c>
      <c r="D4" s="12">
        <v>1</v>
      </c>
      <c r="E4" s="12">
        <v>186.89580712890626</v>
      </c>
      <c r="F4" s="12">
        <v>2242.7496855468753</v>
      </c>
      <c r="G4" s="13"/>
      <c r="H4" s="13">
        <v>186.89580712890626</v>
      </c>
      <c r="I4" s="13">
        <v>1</v>
      </c>
      <c r="J4" s="13">
        <v>186.89580712890626</v>
      </c>
      <c r="K4" s="13">
        <v>2242.7496855468753</v>
      </c>
      <c r="L4" s="14"/>
      <c r="M4" s="14">
        <v>186.895807128906</v>
      </c>
      <c r="N4" s="14">
        <v>1</v>
      </c>
      <c r="O4" s="14">
        <v>186.895807128906</v>
      </c>
      <c r="P4" s="14">
        <v>2242.7496855468798</v>
      </c>
      <c r="Q4" s="15"/>
      <c r="R4" s="15">
        <v>186.895807128906</v>
      </c>
      <c r="S4" s="15">
        <v>1</v>
      </c>
      <c r="T4" s="15">
        <v>186.895807128906</v>
      </c>
      <c r="U4" s="15">
        <v>2242.7496855468798</v>
      </c>
    </row>
    <row r="5" spans="1:21" ht="14" x14ac:dyDescent="0.15">
      <c r="A5" s="1" t="s">
        <v>13</v>
      </c>
      <c r="B5" s="2" t="s">
        <v>14</v>
      </c>
      <c r="C5" s="12">
        <v>966.47439583333323</v>
      </c>
      <c r="D5" s="12">
        <v>1</v>
      </c>
      <c r="E5" s="12">
        <v>966.47439583333323</v>
      </c>
      <c r="F5" s="12">
        <v>11597.692749999998</v>
      </c>
      <c r="G5" s="13" t="s">
        <v>14</v>
      </c>
      <c r="H5" s="13">
        <v>966.47439583333323</v>
      </c>
      <c r="I5" s="13">
        <v>1</v>
      </c>
      <c r="J5" s="13">
        <v>966.47439583333323</v>
      </c>
      <c r="K5" s="13">
        <v>11597.692749999998</v>
      </c>
      <c r="L5" s="14" t="s">
        <v>14</v>
      </c>
      <c r="M5" s="14">
        <v>966.47439583333301</v>
      </c>
      <c r="N5" s="14">
        <v>1</v>
      </c>
      <c r="O5" s="14">
        <v>966.47439583333301</v>
      </c>
      <c r="P5" s="14">
        <v>11597.69275</v>
      </c>
      <c r="Q5" s="15" t="s">
        <v>14</v>
      </c>
      <c r="R5" s="15">
        <v>966.47439583333301</v>
      </c>
      <c r="S5" s="15">
        <v>1</v>
      </c>
      <c r="T5" s="15">
        <v>966.47439583333301</v>
      </c>
      <c r="U5" s="15">
        <v>11597.69275</v>
      </c>
    </row>
    <row r="6" spans="1:21" ht="28" x14ac:dyDescent="0.15">
      <c r="A6" s="1" t="s">
        <v>15</v>
      </c>
      <c r="B6" s="2" t="s">
        <v>16</v>
      </c>
      <c r="C6" s="12">
        <v>9.8623624023437504</v>
      </c>
      <c r="D6" s="12">
        <v>1</v>
      </c>
      <c r="E6" s="12">
        <v>9.8623624023437504</v>
      </c>
      <c r="F6" s="12">
        <v>118.34834882812501</v>
      </c>
      <c r="G6" s="13" t="s">
        <v>16</v>
      </c>
      <c r="H6" s="13">
        <v>9.8623624023437504</v>
      </c>
      <c r="I6" s="13">
        <v>1</v>
      </c>
      <c r="J6" s="13">
        <v>9.8623624023437504</v>
      </c>
      <c r="K6" s="13">
        <v>118.34834882812501</v>
      </c>
      <c r="L6" s="14" t="s">
        <v>16</v>
      </c>
      <c r="M6" s="14">
        <v>9.8623624023437504</v>
      </c>
      <c r="N6" s="14">
        <v>1</v>
      </c>
      <c r="O6" s="14">
        <v>9.8623624023437504</v>
      </c>
      <c r="P6" s="14">
        <v>118.348348828125</v>
      </c>
      <c r="Q6" s="15" t="s">
        <v>16</v>
      </c>
      <c r="R6" s="15">
        <v>9.8623624023437504</v>
      </c>
      <c r="S6" s="15">
        <v>1</v>
      </c>
      <c r="T6" s="15">
        <v>9.8623624023437504</v>
      </c>
      <c r="U6" s="15">
        <v>118.348348828125</v>
      </c>
    </row>
    <row r="7" spans="1:21" ht="70" x14ac:dyDescent="0.15">
      <c r="A7" s="1" t="s">
        <v>17</v>
      </c>
      <c r="B7" s="2" t="s">
        <v>18</v>
      </c>
      <c r="C7" s="10">
        <v>0</v>
      </c>
      <c r="D7" s="2">
        <v>1</v>
      </c>
      <c r="E7" s="2">
        <v>0</v>
      </c>
      <c r="F7" s="2">
        <v>0</v>
      </c>
      <c r="G7" s="3" t="s">
        <v>18</v>
      </c>
      <c r="H7" s="3">
        <v>0</v>
      </c>
      <c r="I7" s="3">
        <v>1</v>
      </c>
      <c r="J7" s="3">
        <v>0</v>
      </c>
      <c r="K7" s="3">
        <v>0</v>
      </c>
      <c r="L7" s="4" t="s">
        <v>18</v>
      </c>
      <c r="M7" s="4">
        <v>0</v>
      </c>
      <c r="N7" s="4">
        <v>1</v>
      </c>
      <c r="O7" s="4">
        <v>0</v>
      </c>
      <c r="P7" s="4">
        <v>0</v>
      </c>
      <c r="Q7" s="5" t="s">
        <v>18</v>
      </c>
      <c r="R7" s="5">
        <v>0</v>
      </c>
      <c r="S7" s="5">
        <v>1</v>
      </c>
      <c r="T7" s="5">
        <v>0</v>
      </c>
      <c r="U7" s="5">
        <v>0</v>
      </c>
    </row>
    <row r="8" spans="1:21" ht="28" x14ac:dyDescent="0.15">
      <c r="A8" s="36" t="s">
        <v>19</v>
      </c>
      <c r="B8" s="2" t="s">
        <v>20</v>
      </c>
      <c r="C8" s="11">
        <v>99.66</v>
      </c>
      <c r="D8" s="2">
        <v>2</v>
      </c>
      <c r="E8" s="2">
        <f t="shared" ref="E8:E14" si="0">C8*D8</f>
        <v>199.32</v>
      </c>
      <c r="F8" s="2">
        <f t="shared" ref="F8:F14" si="1">E8*12</f>
        <v>2391.84</v>
      </c>
      <c r="G8" s="3" t="s">
        <v>20</v>
      </c>
      <c r="H8" s="18">
        <v>99.66</v>
      </c>
      <c r="I8" s="3">
        <v>2</v>
      </c>
      <c r="J8" s="3">
        <f t="shared" ref="J8:J13" si="2">H8*I8</f>
        <v>199.32</v>
      </c>
      <c r="K8" s="3">
        <f t="shared" ref="K8:K14" si="3">J8*12</f>
        <v>2391.84</v>
      </c>
      <c r="L8" s="4" t="s">
        <v>20</v>
      </c>
      <c r="M8" s="19">
        <v>99.66</v>
      </c>
      <c r="N8" s="4">
        <v>2</v>
      </c>
      <c r="O8" s="4">
        <f t="shared" ref="O8:O14" si="4">M8*N8</f>
        <v>199.32</v>
      </c>
      <c r="P8" s="4">
        <f t="shared" ref="P8:P14" si="5">O8*12</f>
        <v>2391.84</v>
      </c>
      <c r="Q8" s="5" t="s">
        <v>20</v>
      </c>
      <c r="R8" s="20">
        <v>99.66</v>
      </c>
      <c r="S8" s="5">
        <v>2</v>
      </c>
      <c r="T8" s="5">
        <f t="shared" ref="T8:T14" si="6">R8*S8</f>
        <v>199.32</v>
      </c>
      <c r="U8" s="5">
        <f t="shared" ref="U8:U13" si="7">T8*12</f>
        <v>2391.84</v>
      </c>
    </row>
    <row r="9" spans="1:21" ht="28" x14ac:dyDescent="0.15">
      <c r="A9" s="36"/>
      <c r="B9" s="2" t="s">
        <v>21</v>
      </c>
      <c r="C9" s="11">
        <v>177.73</v>
      </c>
      <c r="D9" s="2">
        <v>2</v>
      </c>
      <c r="E9" s="2">
        <f t="shared" si="0"/>
        <v>355.46</v>
      </c>
      <c r="F9" s="2">
        <f t="shared" si="1"/>
        <v>4265.5199999999995</v>
      </c>
      <c r="G9" s="3" t="s">
        <v>21</v>
      </c>
      <c r="H9" s="18">
        <v>177.73</v>
      </c>
      <c r="I9" s="3">
        <v>2</v>
      </c>
      <c r="J9" s="3">
        <f t="shared" si="2"/>
        <v>355.46</v>
      </c>
      <c r="K9" s="3">
        <f t="shared" si="3"/>
        <v>4265.5199999999995</v>
      </c>
      <c r="L9" s="4" t="s">
        <v>21</v>
      </c>
      <c r="M9" s="19">
        <v>177.73</v>
      </c>
      <c r="N9" s="4">
        <v>2</v>
      </c>
      <c r="O9" s="4">
        <f t="shared" si="4"/>
        <v>355.46</v>
      </c>
      <c r="P9" s="4">
        <f t="shared" si="5"/>
        <v>4265.5199999999995</v>
      </c>
      <c r="Q9" s="5" t="s">
        <v>21</v>
      </c>
      <c r="R9" s="20">
        <v>177.73</v>
      </c>
      <c r="S9" s="5">
        <v>2</v>
      </c>
      <c r="T9" s="5">
        <f t="shared" si="6"/>
        <v>355.46</v>
      </c>
      <c r="U9" s="5">
        <f t="shared" si="7"/>
        <v>4265.5199999999995</v>
      </c>
    </row>
    <row r="10" spans="1:21" ht="42" x14ac:dyDescent="0.15">
      <c r="A10" s="36"/>
      <c r="B10" s="2" t="s">
        <v>22</v>
      </c>
      <c r="C10" s="11">
        <v>528.69000000000005</v>
      </c>
      <c r="D10" s="2">
        <v>2</v>
      </c>
      <c r="E10" s="2">
        <f t="shared" si="0"/>
        <v>1057.3800000000001</v>
      </c>
      <c r="F10" s="2">
        <f t="shared" si="1"/>
        <v>12688.560000000001</v>
      </c>
      <c r="G10" s="3" t="s">
        <v>22</v>
      </c>
      <c r="H10" s="18">
        <v>528.69000000000005</v>
      </c>
      <c r="I10" s="3">
        <v>2</v>
      </c>
      <c r="J10" s="3">
        <f t="shared" si="2"/>
        <v>1057.3800000000001</v>
      </c>
      <c r="K10" s="3">
        <f t="shared" si="3"/>
        <v>12688.560000000001</v>
      </c>
      <c r="L10" s="4" t="s">
        <v>22</v>
      </c>
      <c r="M10" s="19">
        <v>528.69000000000005</v>
      </c>
      <c r="N10" s="4">
        <v>2</v>
      </c>
      <c r="O10" s="4">
        <f t="shared" si="4"/>
        <v>1057.3800000000001</v>
      </c>
      <c r="P10" s="4">
        <f t="shared" si="5"/>
        <v>12688.560000000001</v>
      </c>
      <c r="Q10" s="5" t="s">
        <v>22</v>
      </c>
      <c r="R10" s="20">
        <v>528.69000000000005</v>
      </c>
      <c r="S10" s="5">
        <v>2</v>
      </c>
      <c r="T10" s="5">
        <f t="shared" si="6"/>
        <v>1057.3800000000001</v>
      </c>
      <c r="U10" s="5">
        <f t="shared" si="7"/>
        <v>12688.560000000001</v>
      </c>
    </row>
    <row r="11" spans="1:21" ht="70" x14ac:dyDescent="0.15">
      <c r="A11" s="36"/>
      <c r="B11" s="2" t="s">
        <v>23</v>
      </c>
      <c r="C11" s="11">
        <v>5380.56</v>
      </c>
      <c r="D11" s="2">
        <v>1</v>
      </c>
      <c r="E11" s="2">
        <f t="shared" si="0"/>
        <v>5380.56</v>
      </c>
      <c r="F11" s="2">
        <f t="shared" si="1"/>
        <v>64566.720000000001</v>
      </c>
      <c r="G11" s="3" t="s">
        <v>34</v>
      </c>
      <c r="H11" s="9">
        <v>2311.9</v>
      </c>
      <c r="I11" s="3">
        <v>4</v>
      </c>
      <c r="J11" s="3">
        <f t="shared" si="2"/>
        <v>9247.6</v>
      </c>
      <c r="K11" s="3">
        <f t="shared" si="3"/>
        <v>110971.20000000001</v>
      </c>
      <c r="L11" s="4" t="s">
        <v>24</v>
      </c>
      <c r="M11" s="19">
        <v>830.67</v>
      </c>
      <c r="N11" s="4">
        <v>1</v>
      </c>
      <c r="O11" s="4">
        <f t="shared" si="4"/>
        <v>830.67</v>
      </c>
      <c r="P11" s="4">
        <f t="shared" si="5"/>
        <v>9968.0399999999991</v>
      </c>
      <c r="Q11" s="5" t="s">
        <v>25</v>
      </c>
      <c r="R11" s="20">
        <v>1531.47</v>
      </c>
      <c r="S11" s="5">
        <v>1</v>
      </c>
      <c r="T11" s="5">
        <f t="shared" si="6"/>
        <v>1531.47</v>
      </c>
      <c r="U11" s="5">
        <f t="shared" si="7"/>
        <v>18377.64</v>
      </c>
    </row>
    <row r="12" spans="1:21" ht="42" x14ac:dyDescent="0.15">
      <c r="A12" s="36"/>
      <c r="B12" s="2" t="s">
        <v>26</v>
      </c>
      <c r="C12" s="17">
        <v>202.37</v>
      </c>
      <c r="D12" s="2">
        <v>1</v>
      </c>
      <c r="E12" s="2">
        <f t="shared" si="0"/>
        <v>202.37</v>
      </c>
      <c r="F12" s="2">
        <f t="shared" si="1"/>
        <v>2428.44</v>
      </c>
      <c r="G12" s="3" t="s">
        <v>26</v>
      </c>
      <c r="H12" s="18">
        <v>202.37</v>
      </c>
      <c r="I12" s="3">
        <v>1</v>
      </c>
      <c r="J12" s="3">
        <f t="shared" si="2"/>
        <v>202.37</v>
      </c>
      <c r="K12" s="3">
        <f t="shared" si="3"/>
        <v>2428.44</v>
      </c>
      <c r="L12" s="4" t="s">
        <v>26</v>
      </c>
      <c r="M12" s="19">
        <v>202.37</v>
      </c>
      <c r="N12" s="4">
        <v>1</v>
      </c>
      <c r="O12" s="4">
        <f t="shared" si="4"/>
        <v>202.37</v>
      </c>
      <c r="P12" s="4">
        <f t="shared" si="5"/>
        <v>2428.44</v>
      </c>
      <c r="Q12" s="5" t="s">
        <v>26</v>
      </c>
      <c r="R12" s="20">
        <v>202.37</v>
      </c>
      <c r="S12" s="5">
        <v>1</v>
      </c>
      <c r="T12" s="5">
        <f t="shared" si="6"/>
        <v>202.37</v>
      </c>
      <c r="U12" s="5">
        <f t="shared" si="7"/>
        <v>2428.44</v>
      </c>
    </row>
    <row r="13" spans="1:21" ht="28" x14ac:dyDescent="0.15">
      <c r="A13" s="36"/>
      <c r="B13" s="2" t="s">
        <v>27</v>
      </c>
      <c r="C13" s="17">
        <v>143.81</v>
      </c>
      <c r="D13" s="2">
        <v>1</v>
      </c>
      <c r="E13" s="2">
        <f t="shared" si="0"/>
        <v>143.81</v>
      </c>
      <c r="F13" s="2">
        <f t="shared" si="1"/>
        <v>1725.72</v>
      </c>
      <c r="G13" s="3" t="s">
        <v>27</v>
      </c>
      <c r="H13" s="18">
        <v>143.81</v>
      </c>
      <c r="I13" s="3">
        <v>1</v>
      </c>
      <c r="J13" s="3">
        <f t="shared" si="2"/>
        <v>143.81</v>
      </c>
      <c r="K13" s="3">
        <f t="shared" si="3"/>
        <v>1725.72</v>
      </c>
      <c r="L13" s="4" t="s">
        <v>27</v>
      </c>
      <c r="M13" s="19">
        <v>143.81</v>
      </c>
      <c r="N13" s="4">
        <v>1</v>
      </c>
      <c r="O13" s="4">
        <f t="shared" si="4"/>
        <v>143.81</v>
      </c>
      <c r="P13" s="4">
        <f t="shared" si="5"/>
        <v>1725.72</v>
      </c>
      <c r="Q13" s="5" t="s">
        <v>27</v>
      </c>
      <c r="R13" s="20">
        <v>143.81</v>
      </c>
      <c r="S13" s="5">
        <v>1</v>
      </c>
      <c r="T13" s="5">
        <f t="shared" si="6"/>
        <v>143.81</v>
      </c>
      <c r="U13" s="5">
        <f t="shared" si="7"/>
        <v>1725.72</v>
      </c>
    </row>
    <row r="14" spans="1:21" ht="14" x14ac:dyDescent="0.15">
      <c r="A14" s="36"/>
      <c r="B14" s="2" t="s">
        <v>28</v>
      </c>
      <c r="C14" s="6">
        <v>0.3</v>
      </c>
      <c r="D14" s="2">
        <v>56</v>
      </c>
      <c r="E14" s="2">
        <f t="shared" si="0"/>
        <v>16.8</v>
      </c>
      <c r="F14" s="2">
        <f t="shared" si="1"/>
        <v>201.60000000000002</v>
      </c>
      <c r="G14" s="3" t="s">
        <v>28</v>
      </c>
      <c r="H14" s="3">
        <v>0.3</v>
      </c>
      <c r="I14" s="3">
        <v>77</v>
      </c>
      <c r="J14" s="3">
        <v>23.099999999999998</v>
      </c>
      <c r="K14" s="3">
        <f t="shared" si="3"/>
        <v>277.2</v>
      </c>
      <c r="L14" s="4" t="s">
        <v>28</v>
      </c>
      <c r="M14" s="4">
        <v>0.3</v>
      </c>
      <c r="N14" s="4">
        <v>56</v>
      </c>
      <c r="O14" s="4">
        <f t="shared" si="4"/>
        <v>16.8</v>
      </c>
      <c r="P14" s="4">
        <f t="shared" si="5"/>
        <v>201.60000000000002</v>
      </c>
      <c r="Q14" s="5" t="s">
        <v>28</v>
      </c>
      <c r="R14" s="5">
        <v>0.3</v>
      </c>
      <c r="S14" s="5">
        <v>56</v>
      </c>
      <c r="T14" s="5">
        <f t="shared" si="6"/>
        <v>16.8</v>
      </c>
      <c r="U14" s="5">
        <v>201.60000000000002</v>
      </c>
    </row>
    <row r="15" spans="1:21" ht="56" x14ac:dyDescent="0.15">
      <c r="A15" s="36" t="s">
        <v>29</v>
      </c>
      <c r="B15" s="4" t="s">
        <v>30</v>
      </c>
      <c r="C15" s="6">
        <v>0</v>
      </c>
      <c r="D15" s="2">
        <v>0</v>
      </c>
      <c r="E15" s="2">
        <v>0</v>
      </c>
      <c r="F15" s="2">
        <v>0</v>
      </c>
      <c r="G15" s="3" t="s">
        <v>30</v>
      </c>
      <c r="H15" s="3">
        <v>0</v>
      </c>
      <c r="I15" s="3">
        <v>0</v>
      </c>
      <c r="J15" s="3">
        <v>0</v>
      </c>
      <c r="K15" s="3">
        <v>0</v>
      </c>
      <c r="L15" s="4" t="s">
        <v>30</v>
      </c>
      <c r="M15" s="4">
        <v>19026</v>
      </c>
      <c r="N15" s="4">
        <v>1</v>
      </c>
      <c r="O15" s="4">
        <v>19026</v>
      </c>
      <c r="P15" s="4">
        <v>19026</v>
      </c>
      <c r="Q15" s="5" t="s">
        <v>30</v>
      </c>
      <c r="R15" s="5">
        <v>0</v>
      </c>
      <c r="S15" s="5">
        <v>0</v>
      </c>
      <c r="T15" s="5">
        <v>0</v>
      </c>
      <c r="U15" s="5">
        <v>0</v>
      </c>
    </row>
    <row r="16" spans="1:21" ht="28" x14ac:dyDescent="0.15">
      <c r="A16" s="36"/>
      <c r="B16" s="2" t="s">
        <v>31</v>
      </c>
      <c r="C16" s="12">
        <v>495.64</v>
      </c>
      <c r="D16" s="2">
        <v>3</v>
      </c>
      <c r="E16" s="2">
        <v>1486.92</v>
      </c>
      <c r="F16" s="2">
        <v>4460.76</v>
      </c>
      <c r="G16" s="3" t="s">
        <v>31</v>
      </c>
      <c r="H16" s="3">
        <v>495.64</v>
      </c>
      <c r="I16" s="3">
        <v>3</v>
      </c>
      <c r="J16" s="3">
        <v>1486.92</v>
      </c>
      <c r="K16" s="3">
        <v>4460.76</v>
      </c>
      <c r="L16" s="4" t="s">
        <v>31</v>
      </c>
      <c r="M16" s="4">
        <v>495.64</v>
      </c>
      <c r="N16" s="4">
        <v>3</v>
      </c>
      <c r="O16" s="4">
        <v>1486.92</v>
      </c>
      <c r="P16" s="4">
        <v>4460.76</v>
      </c>
      <c r="Q16" s="5" t="s">
        <v>31</v>
      </c>
      <c r="R16" s="5">
        <v>495.64</v>
      </c>
      <c r="S16" s="5">
        <v>3</v>
      </c>
      <c r="T16" s="5">
        <v>1486.92</v>
      </c>
      <c r="U16" s="5">
        <v>4460.76</v>
      </c>
    </row>
    <row r="17" spans="1:21" ht="28" x14ac:dyDescent="0.15">
      <c r="A17" s="36"/>
      <c r="B17" s="2" t="s">
        <v>32</v>
      </c>
      <c r="C17" s="12">
        <v>826.68</v>
      </c>
      <c r="D17" s="2">
        <v>1</v>
      </c>
      <c r="E17" s="2">
        <v>826.68</v>
      </c>
      <c r="F17" s="2">
        <v>826.68</v>
      </c>
      <c r="G17" s="3" t="s">
        <v>32</v>
      </c>
      <c r="H17" s="3">
        <v>826.68</v>
      </c>
      <c r="I17" s="3">
        <v>1</v>
      </c>
      <c r="J17" s="3">
        <v>826.68</v>
      </c>
      <c r="K17" s="3">
        <v>826.68</v>
      </c>
      <c r="L17" s="4" t="s">
        <v>32</v>
      </c>
      <c r="M17" s="4">
        <v>826.68</v>
      </c>
      <c r="N17" s="4">
        <v>1</v>
      </c>
      <c r="O17" s="4">
        <v>826.68</v>
      </c>
      <c r="P17" s="4">
        <v>826.68</v>
      </c>
      <c r="Q17" s="5" t="s">
        <v>32</v>
      </c>
      <c r="R17" s="5">
        <v>826.68</v>
      </c>
      <c r="S17" s="5">
        <v>1</v>
      </c>
      <c r="T17" s="5">
        <v>826.68</v>
      </c>
      <c r="U17" s="5">
        <v>826.68</v>
      </c>
    </row>
    <row r="18" spans="1:21" ht="28" customHeight="1" x14ac:dyDescent="0.15">
      <c r="A18" s="36"/>
      <c r="B18" s="2" t="s">
        <v>33</v>
      </c>
      <c r="C18" s="12">
        <v>154.54892578125001</v>
      </c>
      <c r="D18" s="12">
        <v>1</v>
      </c>
      <c r="E18" s="12">
        <v>154.54892578125001</v>
      </c>
      <c r="F18" s="12">
        <v>154.54892578125001</v>
      </c>
      <c r="G18" s="13" t="s">
        <v>33</v>
      </c>
      <c r="H18" s="13">
        <v>154.54892578125001</v>
      </c>
      <c r="I18" s="13">
        <v>1</v>
      </c>
      <c r="J18" s="13">
        <v>154.54892578125001</v>
      </c>
      <c r="K18" s="13">
        <v>154.54892578125001</v>
      </c>
      <c r="L18" s="14" t="s">
        <v>33</v>
      </c>
      <c r="M18" s="14">
        <v>154.54892578125001</v>
      </c>
      <c r="N18" s="14">
        <v>1</v>
      </c>
      <c r="O18" s="14">
        <v>154.54892578125001</v>
      </c>
      <c r="P18" s="14">
        <v>154.54892578125001</v>
      </c>
      <c r="Q18" s="15" t="s">
        <v>33</v>
      </c>
      <c r="R18" s="15">
        <v>154.54892578125001</v>
      </c>
      <c r="S18" s="15">
        <v>1</v>
      </c>
      <c r="T18" s="15">
        <v>154.54892578125001</v>
      </c>
      <c r="U18" s="15">
        <v>154.54892578125001</v>
      </c>
    </row>
    <row r="19" spans="1:21" s="7" customFormat="1" ht="14" x14ac:dyDescent="0.15">
      <c r="A19" s="36" t="s">
        <v>38</v>
      </c>
      <c r="B19" s="1"/>
      <c r="C19" s="21"/>
      <c r="D19" s="21"/>
      <c r="E19" s="21" t="s">
        <v>35</v>
      </c>
      <c r="F19" s="22">
        <f>SUM(F3:F18)</f>
        <v>108445.06628828125</v>
      </c>
      <c r="G19" s="21"/>
      <c r="H19" s="21"/>
      <c r="I19" s="21"/>
      <c r="J19" s="21" t="s">
        <v>35</v>
      </c>
      <c r="K19" s="22">
        <f>SUM(K3:K18)</f>
        <v>154925.14628828128</v>
      </c>
      <c r="L19" s="21"/>
      <c r="M19" s="21"/>
      <c r="N19" s="21"/>
      <c r="O19" s="21" t="s">
        <v>35</v>
      </c>
      <c r="P19" s="22">
        <f>SUM(P3:P18)</f>
        <v>72872.386288281239</v>
      </c>
      <c r="Q19" s="21"/>
      <c r="R19" s="21"/>
      <c r="S19" s="21"/>
      <c r="T19" s="21" t="s">
        <v>35</v>
      </c>
      <c r="U19" s="22">
        <f>SUM(U3:U18)</f>
        <v>62255.986288281259</v>
      </c>
    </row>
    <row r="20" spans="1:21" s="7" customFormat="1" ht="14" x14ac:dyDescent="0.15">
      <c r="A20" s="36"/>
      <c r="B20" s="1"/>
      <c r="C20" s="21"/>
      <c r="D20" s="21"/>
      <c r="E20" s="21" t="s">
        <v>37</v>
      </c>
      <c r="F20" s="21">
        <f>F11</f>
        <v>64566.720000000001</v>
      </c>
      <c r="G20" s="21"/>
      <c r="H20" s="21"/>
      <c r="I20" s="21"/>
      <c r="J20" s="21" t="s">
        <v>37</v>
      </c>
      <c r="K20" s="21">
        <f>K11</f>
        <v>110971.20000000001</v>
      </c>
      <c r="L20" s="21"/>
      <c r="M20" s="21"/>
      <c r="N20" s="21"/>
      <c r="O20" s="21" t="s">
        <v>37</v>
      </c>
      <c r="P20" s="21">
        <f>P11</f>
        <v>9968.0399999999991</v>
      </c>
      <c r="Q20" s="21"/>
      <c r="R20" s="21"/>
      <c r="S20" s="21"/>
      <c r="T20" s="21" t="s">
        <v>37</v>
      </c>
      <c r="U20" s="21">
        <f>U11</f>
        <v>18377.64</v>
      </c>
    </row>
    <row r="21" spans="1:21" s="7" customFormat="1" ht="14" x14ac:dyDescent="0.15">
      <c r="A21" s="36"/>
      <c r="B21" s="1"/>
      <c r="C21" s="21"/>
      <c r="D21" s="21"/>
      <c r="E21" s="21" t="s">
        <v>36</v>
      </c>
      <c r="F21" s="21">
        <f>F19-F11</f>
        <v>43878.346288281246</v>
      </c>
      <c r="G21" s="21"/>
      <c r="H21" s="21"/>
      <c r="I21" s="21"/>
      <c r="J21" s="21" t="s">
        <v>36</v>
      </c>
      <c r="K21" s="21">
        <f>K19-K11</f>
        <v>43953.946288281266</v>
      </c>
      <c r="L21" s="21"/>
      <c r="M21" s="21"/>
      <c r="N21" s="21"/>
      <c r="O21" s="21" t="s">
        <v>36</v>
      </c>
      <c r="P21" s="21">
        <f>P19-P11</f>
        <v>62904.346288281238</v>
      </c>
      <c r="Q21" s="21"/>
      <c r="R21" s="21"/>
      <c r="S21" s="21"/>
      <c r="T21" s="21" t="s">
        <v>36</v>
      </c>
      <c r="U21" s="21">
        <f>U19-U11</f>
        <v>43878.34628828126</v>
      </c>
    </row>
    <row r="22" spans="1:21" s="7" customFormat="1" ht="14" x14ac:dyDescent="0.15">
      <c r="A22" s="36" t="s">
        <v>39</v>
      </c>
      <c r="B22" s="1"/>
      <c r="C22" s="21"/>
      <c r="D22" s="21"/>
      <c r="E22" s="21" t="s">
        <v>35</v>
      </c>
      <c r="F22" s="22">
        <f>IR!F19</f>
        <v>100555.54628828124</v>
      </c>
      <c r="G22" s="21"/>
      <c r="H22" s="21"/>
      <c r="I22" s="21"/>
      <c r="J22" s="21" t="s">
        <v>35</v>
      </c>
      <c r="K22" s="22">
        <f>IR!K19</f>
        <v>147035.62628828129</v>
      </c>
      <c r="L22" s="21"/>
      <c r="M22" s="21"/>
      <c r="N22" s="21"/>
      <c r="O22" s="21" t="s">
        <v>35</v>
      </c>
      <c r="P22" s="22">
        <f>IR!P19</f>
        <v>63089.866288281257</v>
      </c>
      <c r="Q22" s="21"/>
      <c r="R22" s="21"/>
      <c r="S22" s="21"/>
      <c r="T22" s="21" t="s">
        <v>35</v>
      </c>
      <c r="U22" s="22">
        <f>IR!U19</f>
        <v>52473.466288281255</v>
      </c>
    </row>
    <row r="23" spans="1:21" s="7" customFormat="1" ht="14" x14ac:dyDescent="0.15">
      <c r="A23" s="36"/>
      <c r="B23" s="1"/>
      <c r="C23" s="1"/>
      <c r="D23" s="1"/>
      <c r="E23" s="21" t="s">
        <v>37</v>
      </c>
      <c r="F23" s="21">
        <f>IR!F20</f>
        <v>64566.720000000001</v>
      </c>
      <c r="G23" s="1"/>
      <c r="H23" s="1"/>
      <c r="I23" s="1"/>
      <c r="J23" s="21" t="s">
        <v>37</v>
      </c>
      <c r="K23" s="21">
        <f>IR!K20</f>
        <v>110971.20000000001</v>
      </c>
      <c r="L23" s="1"/>
      <c r="M23" s="1"/>
      <c r="N23" s="1"/>
      <c r="O23" s="21" t="s">
        <v>37</v>
      </c>
      <c r="P23" s="21">
        <f>IR!P20</f>
        <v>8075.0399999999991</v>
      </c>
      <c r="Q23" s="1"/>
      <c r="R23" s="1"/>
      <c r="S23" s="1"/>
      <c r="T23" s="21" t="s">
        <v>37</v>
      </c>
      <c r="U23" s="21">
        <f>IR!U20</f>
        <v>16484.64</v>
      </c>
    </row>
    <row r="24" spans="1:21" s="7" customFormat="1" ht="14" x14ac:dyDescent="0.15">
      <c r="A24" s="36"/>
      <c r="B24" s="1"/>
      <c r="C24" s="1"/>
      <c r="D24" s="1"/>
      <c r="E24" s="21" t="s">
        <v>36</v>
      </c>
      <c r="F24" s="21">
        <f>IR!F21</f>
        <v>35988.826288281241</v>
      </c>
      <c r="G24" s="1"/>
      <c r="H24" s="1"/>
      <c r="I24" s="1"/>
      <c r="J24" s="21" t="s">
        <v>36</v>
      </c>
      <c r="K24" s="21">
        <f>IR!K21</f>
        <v>36064.426288281276</v>
      </c>
      <c r="L24" s="1"/>
      <c r="M24" s="1"/>
      <c r="N24" s="1"/>
      <c r="O24" s="21" t="s">
        <v>36</v>
      </c>
      <c r="P24" s="21">
        <f>IR!P21</f>
        <v>55014.826288281256</v>
      </c>
      <c r="Q24" s="1"/>
      <c r="R24" s="1"/>
      <c r="S24" s="1"/>
      <c r="T24" s="21" t="s">
        <v>36</v>
      </c>
      <c r="U24" s="21">
        <f>IR!U21</f>
        <v>35988.826288281256</v>
      </c>
    </row>
    <row r="25" spans="1:21" ht="14" x14ac:dyDescent="0.15">
      <c r="A25" s="36" t="s">
        <v>40</v>
      </c>
      <c r="B25" s="23"/>
      <c r="C25" s="23"/>
      <c r="D25" s="23"/>
      <c r="E25" s="21" t="s">
        <v>35</v>
      </c>
      <c r="F25" s="22">
        <f>F19-F15-F18</f>
        <v>108290.5173625</v>
      </c>
      <c r="G25" s="23"/>
      <c r="H25" s="23"/>
      <c r="I25" s="23"/>
      <c r="J25" s="21" t="s">
        <v>35</v>
      </c>
      <c r="K25" s="22">
        <f>K19-K15-K18</f>
        <v>154770.59736250003</v>
      </c>
      <c r="L25" s="24"/>
      <c r="M25" s="1"/>
      <c r="N25" s="1"/>
      <c r="O25" s="21" t="s">
        <v>35</v>
      </c>
      <c r="P25" s="22">
        <f>P19-P15-P18</f>
        <v>53691.837362499988</v>
      </c>
      <c r="Q25" s="23"/>
      <c r="R25" s="23"/>
      <c r="S25" s="23"/>
      <c r="T25" s="21" t="s">
        <v>35</v>
      </c>
      <c r="U25" s="22">
        <f>U19-U15-U18</f>
        <v>62101.437362500008</v>
      </c>
    </row>
    <row r="26" spans="1:21" ht="14" x14ac:dyDescent="0.15">
      <c r="A26" s="36"/>
      <c r="B26" s="23"/>
      <c r="C26" s="23"/>
      <c r="D26" s="23"/>
      <c r="E26" s="21" t="s">
        <v>37</v>
      </c>
      <c r="F26" s="21">
        <f>F11</f>
        <v>64566.720000000001</v>
      </c>
      <c r="G26" s="23"/>
      <c r="H26" s="23"/>
      <c r="I26" s="23"/>
      <c r="J26" s="21" t="s">
        <v>37</v>
      </c>
      <c r="K26" s="21">
        <f>K11</f>
        <v>110971.20000000001</v>
      </c>
      <c r="L26" s="24"/>
      <c r="M26" s="1"/>
      <c r="N26" s="1"/>
      <c r="O26" s="21" t="s">
        <v>37</v>
      </c>
      <c r="P26" s="21">
        <f>P11</f>
        <v>9968.0399999999991</v>
      </c>
      <c r="Q26" s="23"/>
      <c r="R26" s="23"/>
      <c r="S26" s="23"/>
      <c r="T26" s="21" t="s">
        <v>37</v>
      </c>
      <c r="U26" s="21">
        <f>U11</f>
        <v>18377.64</v>
      </c>
    </row>
    <row r="27" spans="1:21" ht="14" x14ac:dyDescent="0.15">
      <c r="A27" s="36"/>
      <c r="B27" s="23"/>
      <c r="C27" s="23"/>
      <c r="D27" s="23"/>
      <c r="E27" s="21" t="s">
        <v>36</v>
      </c>
      <c r="F27" s="21">
        <f>F25-F26</f>
        <v>43723.797362500001</v>
      </c>
      <c r="G27" s="23"/>
      <c r="H27" s="23"/>
      <c r="I27" s="23"/>
      <c r="J27" s="21" t="s">
        <v>36</v>
      </c>
      <c r="K27" s="21">
        <f>K25-K26</f>
        <v>43799.397362500022</v>
      </c>
      <c r="L27" s="24"/>
      <c r="M27" s="1"/>
      <c r="N27" s="1"/>
      <c r="O27" s="21" t="s">
        <v>36</v>
      </c>
      <c r="P27" s="21">
        <f>P25-P26</f>
        <v>43723.797362499987</v>
      </c>
      <c r="Q27" s="23"/>
      <c r="R27" s="23"/>
      <c r="S27" s="23"/>
      <c r="T27" s="21" t="s">
        <v>36</v>
      </c>
      <c r="U27" s="21">
        <f>U25-U26</f>
        <v>43723.797362500009</v>
      </c>
    </row>
    <row r="30" spans="1:21" x14ac:dyDescent="0.15">
      <c r="P30" s="16"/>
    </row>
  </sheetData>
  <mergeCells count="9">
    <mergeCell ref="A25:A27"/>
    <mergeCell ref="L1:P1"/>
    <mergeCell ref="Q1:U1"/>
    <mergeCell ref="A8:A14"/>
    <mergeCell ref="A19:A21"/>
    <mergeCell ref="A22:A24"/>
    <mergeCell ref="A15:A18"/>
    <mergeCell ref="B1:F1"/>
    <mergeCell ref="G1:K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F5C7-141B-F541-8F66-20DE3CE339D7}">
  <dimension ref="A1:U24"/>
  <sheetViews>
    <sheetView topLeftCell="A11" workbookViewId="0">
      <selection activeCell="A19" sqref="A19:A21"/>
    </sheetView>
  </sheetViews>
  <sheetFormatPr baseColWidth="10" defaultRowHeight="13" x14ac:dyDescent="0.15"/>
  <cols>
    <col min="1" max="1" width="18.33203125" style="7" customWidth="1"/>
    <col min="2" max="2" width="18.6640625" customWidth="1"/>
    <col min="3" max="3" width="14" bestFit="1" customWidth="1"/>
    <col min="4" max="4" width="11.1640625" bestFit="1" customWidth="1"/>
    <col min="5" max="5" width="14.6640625" customWidth="1"/>
    <col min="6" max="6" width="13.83203125" bestFit="1" customWidth="1"/>
    <col min="7" max="7" width="19" customWidth="1"/>
    <col min="8" max="8" width="11.6640625" bestFit="1" customWidth="1"/>
    <col min="9" max="9" width="11.1640625" bestFit="1" customWidth="1"/>
    <col min="10" max="10" width="15.83203125" customWidth="1"/>
    <col min="11" max="11" width="13.83203125" bestFit="1" customWidth="1"/>
    <col min="12" max="12" width="22" style="8" customWidth="1"/>
    <col min="13" max="13" width="16.83203125" style="7" customWidth="1"/>
    <col min="14" max="14" width="16.5" style="7" customWidth="1"/>
    <col min="15" max="15" width="15.6640625" style="7" customWidth="1"/>
    <col min="16" max="16" width="16.33203125" style="7" customWidth="1"/>
    <col min="17" max="17" width="23.1640625" customWidth="1"/>
    <col min="18" max="18" width="11.6640625" bestFit="1" customWidth="1"/>
    <col min="19" max="19" width="11.1640625" bestFit="1" customWidth="1"/>
    <col min="20" max="20" width="15.1640625" customWidth="1"/>
    <col min="21" max="21" width="14.33203125" customWidth="1"/>
  </cols>
  <sheetData>
    <row r="1" spans="1:21" ht="22" customHeight="1" x14ac:dyDescent="0.15">
      <c r="A1" s="1"/>
      <c r="B1" s="39" t="s">
        <v>0</v>
      </c>
      <c r="C1" s="39"/>
      <c r="D1" s="39"/>
      <c r="E1" s="39"/>
      <c r="F1" s="39"/>
      <c r="G1" s="40" t="s">
        <v>1</v>
      </c>
      <c r="H1" s="40"/>
      <c r="I1" s="40"/>
      <c r="J1" s="40"/>
      <c r="K1" s="40"/>
      <c r="L1" s="37" t="s">
        <v>2</v>
      </c>
      <c r="M1" s="37"/>
      <c r="N1" s="37"/>
      <c r="O1" s="37"/>
      <c r="P1" s="37"/>
      <c r="Q1" s="38" t="s">
        <v>3</v>
      </c>
      <c r="R1" s="38"/>
      <c r="S1" s="38"/>
      <c r="T1" s="38"/>
      <c r="U1" s="38"/>
    </row>
    <row r="2" spans="1:21" ht="42" x14ac:dyDescent="0.1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5" t="s">
        <v>5</v>
      </c>
      <c r="R2" s="5" t="s">
        <v>6</v>
      </c>
      <c r="S2" s="5" t="s">
        <v>7</v>
      </c>
      <c r="T2" s="5" t="s">
        <v>8</v>
      </c>
      <c r="U2" s="5" t="s">
        <v>9</v>
      </c>
    </row>
    <row r="3" spans="1:21" ht="70" x14ac:dyDescent="0.15">
      <c r="A3" s="1" t="s">
        <v>10</v>
      </c>
      <c r="B3" s="2" t="s">
        <v>11</v>
      </c>
      <c r="C3" s="12">
        <v>64.657214843749998</v>
      </c>
      <c r="D3" s="12">
        <v>1</v>
      </c>
      <c r="E3" s="12">
        <v>64.657214843749998</v>
      </c>
      <c r="F3" s="12">
        <v>775.88657812499991</v>
      </c>
      <c r="G3" s="13" t="s">
        <v>11</v>
      </c>
      <c r="H3" s="13">
        <v>64.657214843749998</v>
      </c>
      <c r="I3" s="13">
        <v>1</v>
      </c>
      <c r="J3" s="13">
        <v>64.657214843749998</v>
      </c>
      <c r="K3" s="13">
        <v>775.88657812499991</v>
      </c>
      <c r="L3" s="14" t="s">
        <v>11</v>
      </c>
      <c r="M3" s="14">
        <v>64.657214843749998</v>
      </c>
      <c r="N3" s="14">
        <v>1</v>
      </c>
      <c r="O3" s="14">
        <v>64.657214843749998</v>
      </c>
      <c r="P3" s="14">
        <v>775.88657812500003</v>
      </c>
      <c r="Q3" s="15" t="s">
        <v>11</v>
      </c>
      <c r="R3" s="15">
        <v>64.657214843749998</v>
      </c>
      <c r="S3" s="15">
        <v>1</v>
      </c>
      <c r="T3" s="15">
        <v>64.657214843749998</v>
      </c>
      <c r="U3" s="15">
        <v>775.88657812500003</v>
      </c>
    </row>
    <row r="4" spans="1:21" ht="23" customHeight="1" x14ac:dyDescent="0.15">
      <c r="A4" s="1" t="s">
        <v>12</v>
      </c>
      <c r="B4" s="2"/>
      <c r="C4" s="12">
        <v>186.89580712890626</v>
      </c>
      <c r="D4" s="12">
        <v>1</v>
      </c>
      <c r="E4" s="12">
        <v>186.89580712890626</v>
      </c>
      <c r="F4" s="12">
        <v>2242.7496855468753</v>
      </c>
      <c r="G4" s="13"/>
      <c r="H4" s="13">
        <v>186.89580712890626</v>
      </c>
      <c r="I4" s="13">
        <v>1</v>
      </c>
      <c r="J4" s="13">
        <v>186.89580712890626</v>
      </c>
      <c r="K4" s="13">
        <v>2242.7496855468753</v>
      </c>
      <c r="L4" s="14"/>
      <c r="M4" s="14">
        <v>186.895807128906</v>
      </c>
      <c r="N4" s="14">
        <v>1</v>
      </c>
      <c r="O4" s="14">
        <v>186.895807128906</v>
      </c>
      <c r="P4" s="14">
        <v>2242.7496855468798</v>
      </c>
      <c r="Q4" s="15"/>
      <c r="R4" s="15">
        <v>186.895807128906</v>
      </c>
      <c r="S4" s="15">
        <v>1</v>
      </c>
      <c r="T4" s="15">
        <v>186.895807128906</v>
      </c>
      <c r="U4" s="15">
        <v>2242.7496855468798</v>
      </c>
    </row>
    <row r="5" spans="1:21" ht="14" x14ac:dyDescent="0.15">
      <c r="A5" s="1" t="s">
        <v>13</v>
      </c>
      <c r="B5" s="2" t="s">
        <v>14</v>
      </c>
      <c r="C5" s="12">
        <v>966.47439583333323</v>
      </c>
      <c r="D5" s="12">
        <v>1</v>
      </c>
      <c r="E5" s="12">
        <v>966.47439583333323</v>
      </c>
      <c r="F5" s="12">
        <v>11597.692749999998</v>
      </c>
      <c r="G5" s="13" t="s">
        <v>14</v>
      </c>
      <c r="H5" s="13">
        <v>966.47439583333323</v>
      </c>
      <c r="I5" s="13">
        <v>1</v>
      </c>
      <c r="J5" s="13">
        <v>966.47439583333323</v>
      </c>
      <c r="K5" s="13">
        <v>11597.692749999998</v>
      </c>
      <c r="L5" s="14" t="s">
        <v>14</v>
      </c>
      <c r="M5" s="14">
        <v>966.47439583333301</v>
      </c>
      <c r="N5" s="14">
        <v>1</v>
      </c>
      <c r="O5" s="14">
        <v>966.47439583333301</v>
      </c>
      <c r="P5" s="14">
        <v>11597.69275</v>
      </c>
      <c r="Q5" s="15" t="s">
        <v>14</v>
      </c>
      <c r="R5" s="15">
        <v>966.47439583333301</v>
      </c>
      <c r="S5" s="15">
        <v>1</v>
      </c>
      <c r="T5" s="15">
        <v>966.47439583333301</v>
      </c>
      <c r="U5" s="15">
        <v>11597.69275</v>
      </c>
    </row>
    <row r="6" spans="1:21" ht="28" x14ac:dyDescent="0.15">
      <c r="A6" s="1" t="s">
        <v>15</v>
      </c>
      <c r="B6" s="2" t="s">
        <v>16</v>
      </c>
      <c r="C6" s="12">
        <v>9.8623624023437504</v>
      </c>
      <c r="D6" s="12">
        <v>1</v>
      </c>
      <c r="E6" s="12">
        <v>9.8623624023437504</v>
      </c>
      <c r="F6" s="12">
        <v>118.34834882812501</v>
      </c>
      <c r="G6" s="13" t="s">
        <v>16</v>
      </c>
      <c r="H6" s="13">
        <v>9.8623624023437504</v>
      </c>
      <c r="I6" s="13">
        <v>1</v>
      </c>
      <c r="J6" s="13">
        <v>9.8623624023437504</v>
      </c>
      <c r="K6" s="13">
        <v>118.34834882812501</v>
      </c>
      <c r="L6" s="14" t="s">
        <v>16</v>
      </c>
      <c r="M6" s="14">
        <v>9.8623624023437504</v>
      </c>
      <c r="N6" s="14">
        <v>1</v>
      </c>
      <c r="O6" s="14">
        <v>9.8623624023437504</v>
      </c>
      <c r="P6" s="14">
        <v>118.348348828125</v>
      </c>
      <c r="Q6" s="15" t="s">
        <v>16</v>
      </c>
      <c r="R6" s="15">
        <v>9.8623624023437504</v>
      </c>
      <c r="S6" s="15">
        <v>1</v>
      </c>
      <c r="T6" s="15">
        <v>9.8623624023437504</v>
      </c>
      <c r="U6" s="15">
        <v>118.348348828125</v>
      </c>
    </row>
    <row r="7" spans="1:21" ht="70" x14ac:dyDescent="0.15">
      <c r="A7" s="1" t="s">
        <v>17</v>
      </c>
      <c r="B7" s="2" t="s">
        <v>18</v>
      </c>
      <c r="C7" s="10">
        <v>0</v>
      </c>
      <c r="D7" s="2">
        <v>1</v>
      </c>
      <c r="E7" s="2">
        <v>0</v>
      </c>
      <c r="F7" s="2">
        <v>0</v>
      </c>
      <c r="G7" s="3" t="s">
        <v>18</v>
      </c>
      <c r="H7" s="3">
        <v>0</v>
      </c>
      <c r="I7" s="3">
        <v>1</v>
      </c>
      <c r="J7" s="3">
        <v>0</v>
      </c>
      <c r="K7" s="3">
        <v>0</v>
      </c>
      <c r="L7" s="4" t="s">
        <v>18</v>
      </c>
      <c r="M7" s="4">
        <v>0</v>
      </c>
      <c r="N7" s="4">
        <v>1</v>
      </c>
      <c r="O7" s="4">
        <v>0</v>
      </c>
      <c r="P7" s="4">
        <v>0</v>
      </c>
      <c r="Q7" s="5" t="s">
        <v>18</v>
      </c>
      <c r="R7" s="5">
        <v>0</v>
      </c>
      <c r="S7" s="5">
        <v>1</v>
      </c>
      <c r="T7" s="5">
        <v>0</v>
      </c>
      <c r="U7" s="5">
        <v>0</v>
      </c>
    </row>
    <row r="8" spans="1:21" ht="28" x14ac:dyDescent="0.15">
      <c r="A8" s="36" t="s">
        <v>19</v>
      </c>
      <c r="B8" s="2" t="s">
        <v>20</v>
      </c>
      <c r="C8" s="11">
        <v>64.45</v>
      </c>
      <c r="D8" s="2">
        <v>2</v>
      </c>
      <c r="E8" s="2">
        <f t="shared" ref="E8:E14" si="0">C8*D8</f>
        <v>128.9</v>
      </c>
      <c r="F8" s="2">
        <f t="shared" ref="F8:F14" si="1">E8*12</f>
        <v>1546.8000000000002</v>
      </c>
      <c r="G8" s="3" t="s">
        <v>20</v>
      </c>
      <c r="H8" s="18">
        <v>64.45</v>
      </c>
      <c r="I8" s="3">
        <v>2</v>
      </c>
      <c r="J8" s="3">
        <f t="shared" ref="J8:J13" si="2">H8*I8</f>
        <v>128.9</v>
      </c>
      <c r="K8" s="3">
        <f t="shared" ref="K8:K14" si="3">J8*12</f>
        <v>1546.8000000000002</v>
      </c>
      <c r="L8" s="4" t="s">
        <v>20</v>
      </c>
      <c r="M8" s="19">
        <v>64.45</v>
      </c>
      <c r="N8" s="4">
        <v>2</v>
      </c>
      <c r="O8" s="4">
        <f t="shared" ref="O8:O14" si="4">M8*N8</f>
        <v>128.9</v>
      </c>
      <c r="P8" s="4">
        <f t="shared" ref="P8:P14" si="5">O8*12</f>
        <v>1546.8000000000002</v>
      </c>
      <c r="Q8" s="5" t="s">
        <v>20</v>
      </c>
      <c r="R8" s="20">
        <v>64.45</v>
      </c>
      <c r="S8" s="5">
        <v>2</v>
      </c>
      <c r="T8" s="5">
        <f t="shared" ref="T8:T14" si="6">R8*S8</f>
        <v>128.9</v>
      </c>
      <c r="U8" s="5">
        <f t="shared" ref="U8:U13" si="7">T8*12</f>
        <v>1546.8000000000002</v>
      </c>
    </row>
    <row r="9" spans="1:21" ht="28" x14ac:dyDescent="0.15">
      <c r="A9" s="36"/>
      <c r="B9" s="2" t="s">
        <v>21</v>
      </c>
      <c r="C9" s="11">
        <v>152.07</v>
      </c>
      <c r="D9" s="2">
        <v>2</v>
      </c>
      <c r="E9" s="2">
        <f t="shared" si="0"/>
        <v>304.14</v>
      </c>
      <c r="F9" s="2">
        <f t="shared" si="1"/>
        <v>3649.68</v>
      </c>
      <c r="G9" s="3" t="s">
        <v>21</v>
      </c>
      <c r="H9" s="18">
        <v>152.07</v>
      </c>
      <c r="I9" s="3">
        <v>2</v>
      </c>
      <c r="J9" s="3">
        <f t="shared" si="2"/>
        <v>304.14</v>
      </c>
      <c r="K9" s="3">
        <f t="shared" si="3"/>
        <v>3649.68</v>
      </c>
      <c r="L9" s="4" t="s">
        <v>21</v>
      </c>
      <c r="M9" s="19">
        <v>152.07</v>
      </c>
      <c r="N9" s="4">
        <v>2</v>
      </c>
      <c r="O9" s="4">
        <f t="shared" si="4"/>
        <v>304.14</v>
      </c>
      <c r="P9" s="4">
        <f t="shared" si="5"/>
        <v>3649.68</v>
      </c>
      <c r="Q9" s="5" t="s">
        <v>21</v>
      </c>
      <c r="R9" s="20">
        <v>152.07</v>
      </c>
      <c r="S9" s="5">
        <v>2</v>
      </c>
      <c r="T9" s="5">
        <f t="shared" si="6"/>
        <v>304.14</v>
      </c>
      <c r="U9" s="5">
        <f t="shared" si="7"/>
        <v>3649.68</v>
      </c>
    </row>
    <row r="10" spans="1:21" ht="42" x14ac:dyDescent="0.15">
      <c r="A10" s="36"/>
      <c r="B10" s="2" t="s">
        <v>22</v>
      </c>
      <c r="C10" s="11">
        <v>300.77999999999997</v>
      </c>
      <c r="D10" s="2">
        <v>2</v>
      </c>
      <c r="E10" s="2">
        <f t="shared" si="0"/>
        <v>601.55999999999995</v>
      </c>
      <c r="F10" s="2">
        <f t="shared" si="1"/>
        <v>7218.7199999999993</v>
      </c>
      <c r="G10" s="3" t="s">
        <v>22</v>
      </c>
      <c r="H10" s="18">
        <v>300.77999999999997</v>
      </c>
      <c r="I10" s="3">
        <v>2</v>
      </c>
      <c r="J10" s="3">
        <f t="shared" si="2"/>
        <v>601.55999999999995</v>
      </c>
      <c r="K10" s="3">
        <f t="shared" si="3"/>
        <v>7218.7199999999993</v>
      </c>
      <c r="L10" s="4" t="s">
        <v>22</v>
      </c>
      <c r="M10" s="19">
        <v>300.77999999999997</v>
      </c>
      <c r="N10" s="4">
        <v>2</v>
      </c>
      <c r="O10" s="4">
        <f t="shared" si="4"/>
        <v>601.55999999999995</v>
      </c>
      <c r="P10" s="4">
        <f t="shared" si="5"/>
        <v>7218.7199999999993</v>
      </c>
      <c r="Q10" s="5" t="s">
        <v>22</v>
      </c>
      <c r="R10" s="20">
        <v>300.77999999999997</v>
      </c>
      <c r="S10" s="5">
        <v>2</v>
      </c>
      <c r="T10" s="5">
        <f t="shared" si="6"/>
        <v>601.55999999999995</v>
      </c>
      <c r="U10" s="5">
        <f t="shared" si="7"/>
        <v>7218.7199999999993</v>
      </c>
    </row>
    <row r="11" spans="1:21" ht="70" x14ac:dyDescent="0.15">
      <c r="A11" s="36"/>
      <c r="B11" s="2" t="s">
        <v>23</v>
      </c>
      <c r="C11" s="11">
        <v>5380.56</v>
      </c>
      <c r="D11" s="2">
        <v>1</v>
      </c>
      <c r="E11" s="2">
        <f t="shared" si="0"/>
        <v>5380.56</v>
      </c>
      <c r="F11" s="2">
        <f t="shared" si="1"/>
        <v>64566.720000000001</v>
      </c>
      <c r="G11" s="3" t="s">
        <v>34</v>
      </c>
      <c r="H11" s="9">
        <v>2311.9</v>
      </c>
      <c r="I11" s="3">
        <v>4</v>
      </c>
      <c r="J11" s="3">
        <f t="shared" si="2"/>
        <v>9247.6</v>
      </c>
      <c r="K11" s="3">
        <f t="shared" si="3"/>
        <v>110971.20000000001</v>
      </c>
      <c r="L11" s="4" t="s">
        <v>24</v>
      </c>
      <c r="M11" s="19">
        <v>672.92</v>
      </c>
      <c r="N11" s="4">
        <v>1</v>
      </c>
      <c r="O11" s="4">
        <f t="shared" si="4"/>
        <v>672.92</v>
      </c>
      <c r="P11" s="4">
        <f t="shared" si="5"/>
        <v>8075.0399999999991</v>
      </c>
      <c r="Q11" s="5" t="s">
        <v>25</v>
      </c>
      <c r="R11" s="20">
        <v>1373.72</v>
      </c>
      <c r="S11" s="5">
        <v>1</v>
      </c>
      <c r="T11" s="5">
        <f t="shared" si="6"/>
        <v>1373.72</v>
      </c>
      <c r="U11" s="5">
        <f t="shared" si="7"/>
        <v>16484.64</v>
      </c>
    </row>
    <row r="12" spans="1:21" ht="42" x14ac:dyDescent="0.15">
      <c r="A12" s="36"/>
      <c r="B12" s="2" t="s">
        <v>26</v>
      </c>
      <c r="C12" s="17">
        <v>174.24</v>
      </c>
      <c r="D12" s="2">
        <v>1</v>
      </c>
      <c r="E12" s="2">
        <f t="shared" si="0"/>
        <v>174.24</v>
      </c>
      <c r="F12" s="2">
        <f t="shared" si="1"/>
        <v>2090.88</v>
      </c>
      <c r="G12" s="3" t="s">
        <v>26</v>
      </c>
      <c r="H12" s="18">
        <v>174.24</v>
      </c>
      <c r="I12" s="3">
        <v>1</v>
      </c>
      <c r="J12" s="3">
        <f t="shared" si="2"/>
        <v>174.24</v>
      </c>
      <c r="K12" s="3">
        <f t="shared" si="3"/>
        <v>2090.88</v>
      </c>
      <c r="L12" s="4" t="s">
        <v>26</v>
      </c>
      <c r="M12" s="19">
        <v>174.24</v>
      </c>
      <c r="N12" s="4">
        <v>1</v>
      </c>
      <c r="O12" s="4">
        <f t="shared" si="4"/>
        <v>174.24</v>
      </c>
      <c r="P12" s="4">
        <f t="shared" si="5"/>
        <v>2090.88</v>
      </c>
      <c r="Q12" s="5" t="s">
        <v>26</v>
      </c>
      <c r="R12" s="20">
        <v>174.24</v>
      </c>
      <c r="S12" s="5">
        <v>1</v>
      </c>
      <c r="T12" s="5">
        <f t="shared" si="6"/>
        <v>174.24</v>
      </c>
      <c r="U12" s="5">
        <f t="shared" si="7"/>
        <v>2090.88</v>
      </c>
    </row>
    <row r="13" spans="1:21" ht="28" x14ac:dyDescent="0.15">
      <c r="A13" s="36"/>
      <c r="B13" s="2" t="s">
        <v>27</v>
      </c>
      <c r="C13" s="17">
        <v>92.04</v>
      </c>
      <c r="D13" s="2">
        <v>1</v>
      </c>
      <c r="E13" s="2">
        <f t="shared" si="0"/>
        <v>92.04</v>
      </c>
      <c r="F13" s="2">
        <f t="shared" si="1"/>
        <v>1104.48</v>
      </c>
      <c r="G13" s="3" t="s">
        <v>27</v>
      </c>
      <c r="H13" s="18">
        <v>92.04</v>
      </c>
      <c r="I13" s="3">
        <v>1</v>
      </c>
      <c r="J13" s="3">
        <f t="shared" si="2"/>
        <v>92.04</v>
      </c>
      <c r="K13" s="3">
        <f t="shared" si="3"/>
        <v>1104.48</v>
      </c>
      <c r="L13" s="4" t="s">
        <v>27</v>
      </c>
      <c r="M13" s="19">
        <v>92.04</v>
      </c>
      <c r="N13" s="4">
        <v>1</v>
      </c>
      <c r="O13" s="4">
        <f t="shared" si="4"/>
        <v>92.04</v>
      </c>
      <c r="P13" s="4">
        <f t="shared" si="5"/>
        <v>1104.48</v>
      </c>
      <c r="Q13" s="5" t="s">
        <v>27</v>
      </c>
      <c r="R13" s="20">
        <v>92.04</v>
      </c>
      <c r="S13" s="5">
        <v>1</v>
      </c>
      <c r="T13" s="5">
        <f t="shared" si="6"/>
        <v>92.04</v>
      </c>
      <c r="U13" s="5">
        <f t="shared" si="7"/>
        <v>1104.48</v>
      </c>
    </row>
    <row r="14" spans="1:21" ht="14" x14ac:dyDescent="0.15">
      <c r="A14" s="36"/>
      <c r="B14" s="2" t="s">
        <v>28</v>
      </c>
      <c r="C14" s="6">
        <v>0.3</v>
      </c>
      <c r="D14" s="2">
        <v>56</v>
      </c>
      <c r="E14" s="2">
        <f t="shared" si="0"/>
        <v>16.8</v>
      </c>
      <c r="F14" s="2">
        <f t="shared" si="1"/>
        <v>201.60000000000002</v>
      </c>
      <c r="G14" s="3" t="s">
        <v>28</v>
      </c>
      <c r="H14" s="3">
        <v>0.3</v>
      </c>
      <c r="I14" s="3">
        <v>77</v>
      </c>
      <c r="J14" s="3">
        <v>23.099999999999998</v>
      </c>
      <c r="K14" s="3">
        <f t="shared" si="3"/>
        <v>277.2</v>
      </c>
      <c r="L14" s="4" t="s">
        <v>28</v>
      </c>
      <c r="M14" s="4">
        <v>0.3</v>
      </c>
      <c r="N14" s="4">
        <v>56</v>
      </c>
      <c r="O14" s="4">
        <f t="shared" si="4"/>
        <v>16.8</v>
      </c>
      <c r="P14" s="4">
        <f t="shared" si="5"/>
        <v>201.60000000000002</v>
      </c>
      <c r="Q14" s="5" t="s">
        <v>28</v>
      </c>
      <c r="R14" s="5">
        <v>0.3</v>
      </c>
      <c r="S14" s="5">
        <v>56</v>
      </c>
      <c r="T14" s="5">
        <f t="shared" si="6"/>
        <v>16.8</v>
      </c>
      <c r="U14" s="5">
        <v>201.60000000000002</v>
      </c>
    </row>
    <row r="15" spans="1:21" ht="42" x14ac:dyDescent="0.15">
      <c r="A15" s="36" t="s">
        <v>29</v>
      </c>
      <c r="B15" s="2"/>
      <c r="C15" s="6"/>
      <c r="D15" s="2"/>
      <c r="E15" s="2">
        <v>0</v>
      </c>
      <c r="F15" s="2">
        <v>0</v>
      </c>
      <c r="G15" s="3"/>
      <c r="H15" s="3"/>
      <c r="I15" s="3"/>
      <c r="J15" s="3">
        <v>0</v>
      </c>
      <c r="K15" s="3">
        <v>0</v>
      </c>
      <c r="L15" s="4" t="s">
        <v>30</v>
      </c>
      <c r="M15" s="4">
        <v>19026</v>
      </c>
      <c r="N15" s="4">
        <v>1</v>
      </c>
      <c r="O15" s="4">
        <v>19026</v>
      </c>
      <c r="P15" s="4">
        <v>19026</v>
      </c>
      <c r="Q15" s="5"/>
      <c r="R15" s="5"/>
      <c r="S15" s="5"/>
      <c r="T15" s="5">
        <v>0</v>
      </c>
      <c r="U15" s="5">
        <v>0</v>
      </c>
    </row>
    <row r="16" spans="1:21" ht="28" x14ac:dyDescent="0.15">
      <c r="A16" s="36"/>
      <c r="B16" s="2" t="s">
        <v>31</v>
      </c>
      <c r="C16" s="12">
        <v>495.64</v>
      </c>
      <c r="D16" s="2">
        <v>3</v>
      </c>
      <c r="E16" s="2">
        <v>1486.92</v>
      </c>
      <c r="F16" s="2">
        <v>4460.76</v>
      </c>
      <c r="G16" s="3" t="s">
        <v>31</v>
      </c>
      <c r="H16" s="3">
        <v>495.64</v>
      </c>
      <c r="I16" s="3">
        <v>3</v>
      </c>
      <c r="J16" s="3">
        <v>1486.92</v>
      </c>
      <c r="K16" s="3">
        <v>4460.76</v>
      </c>
      <c r="L16" s="4" t="s">
        <v>31</v>
      </c>
      <c r="M16" s="4">
        <v>495.64</v>
      </c>
      <c r="N16" s="4">
        <v>3</v>
      </c>
      <c r="O16" s="4">
        <v>1486.92</v>
      </c>
      <c r="P16" s="4">
        <v>4460.76</v>
      </c>
      <c r="Q16" s="5" t="s">
        <v>31</v>
      </c>
      <c r="R16" s="5">
        <v>495.64</v>
      </c>
      <c r="S16" s="5">
        <v>3</v>
      </c>
      <c r="T16" s="5">
        <v>1486.92</v>
      </c>
      <c r="U16" s="5">
        <v>4460.76</v>
      </c>
    </row>
    <row r="17" spans="1:21" ht="28" x14ac:dyDescent="0.15">
      <c r="A17" s="36"/>
      <c r="B17" s="2" t="s">
        <v>32</v>
      </c>
      <c r="C17" s="12">
        <v>826.68</v>
      </c>
      <c r="D17" s="2">
        <v>1</v>
      </c>
      <c r="E17" s="2">
        <v>826.68</v>
      </c>
      <c r="F17" s="2">
        <v>826.68</v>
      </c>
      <c r="G17" s="3" t="s">
        <v>32</v>
      </c>
      <c r="H17" s="3">
        <v>826.68</v>
      </c>
      <c r="I17" s="3">
        <v>1</v>
      </c>
      <c r="J17" s="3">
        <v>826.68</v>
      </c>
      <c r="K17" s="3">
        <v>826.68</v>
      </c>
      <c r="L17" s="4" t="s">
        <v>32</v>
      </c>
      <c r="M17" s="4">
        <v>826.68</v>
      </c>
      <c r="N17" s="4">
        <v>1</v>
      </c>
      <c r="O17" s="4">
        <v>826.68</v>
      </c>
      <c r="P17" s="4">
        <v>826.68</v>
      </c>
      <c r="Q17" s="5" t="s">
        <v>32</v>
      </c>
      <c r="R17" s="5">
        <v>826.68</v>
      </c>
      <c r="S17" s="5">
        <v>1</v>
      </c>
      <c r="T17" s="5">
        <v>826.68</v>
      </c>
      <c r="U17" s="5">
        <v>826.68</v>
      </c>
    </row>
    <row r="18" spans="1:21" ht="28" customHeight="1" x14ac:dyDescent="0.15">
      <c r="A18" s="36"/>
      <c r="B18" s="2" t="s">
        <v>33</v>
      </c>
      <c r="C18" s="12">
        <v>154.54892578125001</v>
      </c>
      <c r="D18" s="12">
        <v>1</v>
      </c>
      <c r="E18" s="12">
        <v>154.54892578125001</v>
      </c>
      <c r="F18" s="12">
        <v>154.54892578125001</v>
      </c>
      <c r="G18" s="13" t="s">
        <v>33</v>
      </c>
      <c r="H18" s="13">
        <v>154.54892578125001</v>
      </c>
      <c r="I18" s="13">
        <v>1</v>
      </c>
      <c r="J18" s="13">
        <v>154.54892578125001</v>
      </c>
      <c r="K18" s="13">
        <v>154.54892578125001</v>
      </c>
      <c r="L18" s="14" t="s">
        <v>33</v>
      </c>
      <c r="M18" s="14">
        <v>154.54892578125001</v>
      </c>
      <c r="N18" s="14">
        <v>1</v>
      </c>
      <c r="O18" s="14">
        <v>154.54892578125001</v>
      </c>
      <c r="P18" s="14">
        <v>154.54892578125001</v>
      </c>
      <c r="Q18" s="15" t="s">
        <v>33</v>
      </c>
      <c r="R18" s="15">
        <v>154.54892578125001</v>
      </c>
      <c r="S18" s="15">
        <v>1</v>
      </c>
      <c r="T18" s="15">
        <v>154.54892578125001</v>
      </c>
      <c r="U18" s="15">
        <v>154.54892578125001</v>
      </c>
    </row>
    <row r="19" spans="1:21" s="7" customFormat="1" ht="14" x14ac:dyDescent="0.15">
      <c r="A19" s="36" t="s">
        <v>39</v>
      </c>
      <c r="B19" s="1"/>
      <c r="C19" s="21"/>
      <c r="D19" s="21"/>
      <c r="E19" s="21" t="s">
        <v>35</v>
      </c>
      <c r="F19" s="22">
        <f>SUM(F3:F18)</f>
        <v>100555.54628828124</v>
      </c>
      <c r="G19" s="21"/>
      <c r="H19" s="21"/>
      <c r="I19" s="21"/>
      <c r="J19" s="21" t="s">
        <v>35</v>
      </c>
      <c r="K19" s="22">
        <f>SUM(K3:K18)</f>
        <v>147035.62628828129</v>
      </c>
      <c r="L19" s="21"/>
      <c r="M19" s="21"/>
      <c r="N19" s="21"/>
      <c r="O19" s="21" t="s">
        <v>35</v>
      </c>
      <c r="P19" s="22">
        <f>SUM(P3:P18)</f>
        <v>63089.866288281257</v>
      </c>
      <c r="Q19" s="21"/>
      <c r="R19" s="21"/>
      <c r="S19" s="21"/>
      <c r="T19" s="21" t="s">
        <v>35</v>
      </c>
      <c r="U19" s="22">
        <f>SUM(U3:U18)</f>
        <v>52473.466288281255</v>
      </c>
    </row>
    <row r="20" spans="1:21" s="7" customFormat="1" ht="14" x14ac:dyDescent="0.15">
      <c r="A20" s="36"/>
      <c r="B20" s="1"/>
      <c r="C20" s="21"/>
      <c r="D20" s="21"/>
      <c r="E20" s="21" t="s">
        <v>37</v>
      </c>
      <c r="F20" s="21">
        <f>F11</f>
        <v>64566.720000000001</v>
      </c>
      <c r="G20" s="21"/>
      <c r="H20" s="21"/>
      <c r="I20" s="21"/>
      <c r="J20" s="21" t="s">
        <v>37</v>
      </c>
      <c r="K20" s="21">
        <f>K11</f>
        <v>110971.20000000001</v>
      </c>
      <c r="L20" s="21"/>
      <c r="M20" s="21"/>
      <c r="N20" s="21"/>
      <c r="O20" s="21" t="s">
        <v>37</v>
      </c>
      <c r="P20" s="21">
        <f>P11</f>
        <v>8075.0399999999991</v>
      </c>
      <c r="Q20" s="21"/>
      <c r="R20" s="21"/>
      <c r="S20" s="21"/>
      <c r="T20" s="21" t="s">
        <v>37</v>
      </c>
      <c r="U20" s="21">
        <f>U11</f>
        <v>16484.64</v>
      </c>
    </row>
    <row r="21" spans="1:21" s="7" customFormat="1" ht="14" x14ac:dyDescent="0.15">
      <c r="A21" s="36"/>
      <c r="B21" s="1"/>
      <c r="C21" s="21"/>
      <c r="D21" s="21"/>
      <c r="E21" s="21" t="s">
        <v>36</v>
      </c>
      <c r="F21" s="21">
        <f>F19-F11</f>
        <v>35988.826288281241</v>
      </c>
      <c r="G21" s="21"/>
      <c r="H21" s="21"/>
      <c r="I21" s="21"/>
      <c r="J21" s="21" t="s">
        <v>36</v>
      </c>
      <c r="K21" s="21">
        <f>K19-K11</f>
        <v>36064.426288281276</v>
      </c>
      <c r="L21" s="21"/>
      <c r="M21" s="21"/>
      <c r="N21" s="21"/>
      <c r="O21" s="21" t="s">
        <v>36</v>
      </c>
      <c r="P21" s="21">
        <f>P19-P11</f>
        <v>55014.826288281256</v>
      </c>
      <c r="Q21" s="21"/>
      <c r="R21" s="21"/>
      <c r="S21" s="21"/>
      <c r="T21" s="21" t="s">
        <v>36</v>
      </c>
      <c r="U21" s="21">
        <f>U19-U11</f>
        <v>35988.826288281256</v>
      </c>
    </row>
    <row r="22" spans="1:21" ht="14" x14ac:dyDescent="0.15">
      <c r="A22" s="36" t="s">
        <v>41</v>
      </c>
      <c r="B22" s="1"/>
      <c r="C22" s="21"/>
      <c r="D22" s="21"/>
      <c r="E22" s="21" t="s">
        <v>35</v>
      </c>
      <c r="F22" s="22">
        <f>F19-F15-F18</f>
        <v>100400.9973625</v>
      </c>
      <c r="G22" s="21"/>
      <c r="H22" s="21"/>
      <c r="I22" s="21"/>
      <c r="J22" s="21" t="s">
        <v>35</v>
      </c>
      <c r="K22" s="22">
        <f>K19-K15-K18</f>
        <v>146881.07736250004</v>
      </c>
      <c r="L22" s="21"/>
      <c r="M22" s="21"/>
      <c r="N22" s="21"/>
      <c r="O22" s="21" t="s">
        <v>35</v>
      </c>
      <c r="P22" s="22">
        <f>P19-P15-P18</f>
        <v>43909.317362500005</v>
      </c>
      <c r="Q22" s="21"/>
      <c r="R22" s="21"/>
      <c r="S22" s="21"/>
      <c r="T22" s="21" t="s">
        <v>35</v>
      </c>
      <c r="U22" s="22">
        <f>U19-U15-U18</f>
        <v>52318.917362500004</v>
      </c>
    </row>
    <row r="23" spans="1:21" ht="14" x14ac:dyDescent="0.15">
      <c r="A23" s="36"/>
      <c r="B23" s="1"/>
      <c r="C23" s="1"/>
      <c r="D23" s="1"/>
      <c r="E23" s="21" t="s">
        <v>37</v>
      </c>
      <c r="F23" s="1">
        <f>F11</f>
        <v>64566.720000000001</v>
      </c>
      <c r="G23" s="1"/>
      <c r="H23" s="1"/>
      <c r="I23" s="1"/>
      <c r="J23" s="21" t="s">
        <v>37</v>
      </c>
      <c r="K23" s="1">
        <f>K11</f>
        <v>110971.20000000001</v>
      </c>
      <c r="L23" s="1"/>
      <c r="M23" s="1"/>
      <c r="N23" s="1"/>
      <c r="O23" s="21" t="s">
        <v>37</v>
      </c>
      <c r="P23" s="1">
        <f>P11</f>
        <v>8075.0399999999991</v>
      </c>
      <c r="Q23" s="1"/>
      <c r="R23" s="1"/>
      <c r="S23" s="1"/>
      <c r="T23" s="21" t="s">
        <v>37</v>
      </c>
      <c r="U23" s="1">
        <f>U11</f>
        <v>16484.64</v>
      </c>
    </row>
    <row r="24" spans="1:21" ht="14" x14ac:dyDescent="0.15">
      <c r="A24" s="36"/>
      <c r="B24" s="1"/>
      <c r="C24" s="1"/>
      <c r="D24" s="1"/>
      <c r="E24" s="21" t="s">
        <v>36</v>
      </c>
      <c r="F24" s="21">
        <f>F22-F23</f>
        <v>35834.277362499997</v>
      </c>
      <c r="G24" s="1"/>
      <c r="H24" s="1"/>
      <c r="I24" s="1"/>
      <c r="J24" s="21" t="s">
        <v>36</v>
      </c>
      <c r="K24" s="21">
        <f>K22-K23</f>
        <v>35909.877362500032</v>
      </c>
      <c r="L24" s="1"/>
      <c r="M24" s="1"/>
      <c r="N24" s="1"/>
      <c r="O24" s="21" t="s">
        <v>36</v>
      </c>
      <c r="P24" s="21">
        <f>P22-P23</f>
        <v>35834.277362500005</v>
      </c>
      <c r="Q24" s="1"/>
      <c r="R24" s="1"/>
      <c r="S24" s="1"/>
      <c r="T24" s="21" t="s">
        <v>36</v>
      </c>
      <c r="U24" s="21">
        <f>U22-U23</f>
        <v>35834.277362500005</v>
      </c>
    </row>
  </sheetData>
  <mergeCells count="8">
    <mergeCell ref="L1:P1"/>
    <mergeCell ref="Q1:U1"/>
    <mergeCell ref="A8:A14"/>
    <mergeCell ref="A19:A21"/>
    <mergeCell ref="A22:A24"/>
    <mergeCell ref="A15:A18"/>
    <mergeCell ref="B1:F1"/>
    <mergeCell ref="G1:K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OR</vt:lpstr>
      <vt:lpstr>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Ma</dc:creator>
  <cp:lastModifiedBy>Zhao Ma</cp:lastModifiedBy>
  <dcterms:created xsi:type="dcterms:W3CDTF">2025-03-28T04:06:20Z</dcterms:created>
  <dcterms:modified xsi:type="dcterms:W3CDTF">2025-03-29T12:32:10Z</dcterms:modified>
</cp:coreProperties>
</file>