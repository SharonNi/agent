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9"/>
  <workbookPr/>
  <mc:AlternateContent xmlns:mc="http://schemas.openxmlformats.org/markup-compatibility/2006">
    <mc:Choice Requires="x15">
      <x15ac:absPath xmlns:x15ac="http://schemas.microsoft.com/office/spreadsheetml/2010/11/ac" url="/Users/bluesmansion/Desktop/AWS迁移/"/>
    </mc:Choice>
  </mc:AlternateContent>
  <xr:revisionPtr revIDLastSave="0" documentId="13_ncr:1_{F662EAF8-B2AB-AA45-9F04-2D960715B39B}" xr6:coauthVersionLast="47" xr6:coauthVersionMax="47" xr10:uidLastSave="{00000000-0000-0000-0000-000000000000}"/>
  <bookViews>
    <workbookView xWindow="32740" yWindow="4780" windowWidth="25120" windowHeight="16620" xr2:uid="{00000000-000D-0000-FFFF-FFFF00000000}"/>
  </bookViews>
  <sheets>
    <sheet name="硬件资源" sheetId="2" r:id="rId1"/>
    <sheet name="价格估算表"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1" l="1"/>
  <c r="G57" i="1"/>
  <c r="G56" i="1"/>
  <c r="G55" i="1"/>
  <c r="G54" i="1"/>
  <c r="F54" i="1"/>
  <c r="D54" i="1"/>
  <c r="G53" i="1"/>
  <c r="F53" i="1"/>
  <c r="G52" i="1"/>
  <c r="F52" i="1"/>
  <c r="E52" i="1"/>
  <c r="G51" i="1"/>
  <c r="F51" i="1"/>
  <c r="G50" i="1"/>
  <c r="F50" i="1"/>
  <c r="E50" i="1"/>
  <c r="G49" i="1"/>
  <c r="F49" i="1"/>
  <c r="E49" i="1"/>
  <c r="G48" i="1"/>
  <c r="F48" i="1"/>
  <c r="G47" i="1"/>
  <c r="F47" i="1"/>
  <c r="E47" i="1"/>
  <c r="G46" i="1"/>
  <c r="F46" i="1"/>
  <c r="E46" i="1"/>
  <c r="G45" i="1"/>
  <c r="F45" i="1"/>
  <c r="E45" i="1"/>
  <c r="G44" i="1"/>
  <c r="F44" i="1"/>
  <c r="E44" i="1"/>
  <c r="G43" i="1"/>
  <c r="F43" i="1"/>
  <c r="G42" i="1"/>
  <c r="F42" i="1"/>
  <c r="D42" i="1"/>
  <c r="G41" i="1"/>
  <c r="F41" i="1"/>
  <c r="D41" i="1"/>
  <c r="G40" i="1"/>
  <c r="F40" i="1"/>
  <c r="D40" i="1"/>
  <c r="G39" i="1"/>
  <c r="F39" i="1"/>
  <c r="D39" i="1"/>
  <c r="F35" i="1"/>
  <c r="E35" i="1"/>
  <c r="D35" i="1"/>
  <c r="C35" i="1"/>
  <c r="F31" i="1"/>
  <c r="E31" i="1"/>
  <c r="F26" i="1"/>
  <c r="E26" i="1"/>
  <c r="D26" i="1"/>
  <c r="C26" i="1"/>
  <c r="E22" i="1"/>
  <c r="D22" i="1"/>
  <c r="F18" i="1"/>
  <c r="C18" i="1"/>
  <c r="B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Anlun</author>
  </authors>
  <commentList>
    <comment ref="E26" authorId="0" shapeId="0" xr:uid="{00000000-0006-0000-0000-000001000000}">
      <text>
        <r>
          <rPr>
            <sz val="11"/>
            <color indexed="8"/>
            <rFont val="Helvetica Neue"/>
            <family val="2"/>
          </rPr>
          <t>Anlun:
512 GB is redundant traffic for other operations that are not billed</t>
        </r>
      </text>
    </comment>
    <comment ref="C27" authorId="0" shapeId="0" xr:uid="{00000000-0006-0000-0000-000002000000}">
      <text>
        <r>
          <rPr>
            <sz val="11"/>
            <color indexed="8"/>
            <rFont val="Helvetica Neue"/>
            <family val="2"/>
          </rPr>
          <t>Anlun:
参考CN 5月实际存放文件大小，除以5月总单量。</t>
        </r>
      </text>
    </comment>
    <comment ref="D27" authorId="0" shapeId="0" xr:uid="{00000000-0006-0000-0000-000003000000}">
      <text>
        <r>
          <rPr>
            <sz val="11"/>
            <color indexed="8"/>
            <rFont val="Helvetica Neue"/>
            <family val="2"/>
          </rPr>
          <t>Anlun:
参考CN此时间段(3月10日-3月15日）的US系统客户每单的文件上传数据</t>
        </r>
      </text>
    </comment>
    <comment ref="E27" authorId="0" shapeId="0" xr:uid="{00000000-0006-0000-0000-000004000000}">
      <text>
        <r>
          <rPr>
            <sz val="11"/>
            <color indexed="8"/>
            <rFont val="Helvetica Neue"/>
            <family val="2"/>
          </rPr>
          <t>Anlun:
维修 18 个页面开单，按照系数 1.2 预估产生 22 个页面
SNR 13 个页面，按照系数 1.2 预估产生 15 个页面
按照 SNR 占比 80% 计算每单平均维修涉及页面数量为 15*80%+22*20%=16 个页面</t>
        </r>
      </text>
    </comment>
    <comment ref="E31" authorId="0" shapeId="0" xr:uid="{00000000-0006-0000-0000-000005000000}">
      <text>
        <r>
          <rPr>
            <sz val="11"/>
            <color indexed="8"/>
            <rFont val="Helvetica Neue"/>
            <family val="2"/>
          </rPr>
          <t>Anlun:
参考CN的新人培训，38门课程大概是350Mb,每门课程大概是9.1Mb</t>
        </r>
      </text>
    </comment>
  </commentList>
</comments>
</file>

<file path=xl/sharedStrings.xml><?xml version="1.0" encoding="utf-8"?>
<sst xmlns="http://schemas.openxmlformats.org/spreadsheetml/2006/main" count="129" uniqueCount="109">
  <si>
    <t>This is the configuration calculation for the cloud-based solution. The variables with a light blue background are adjustable.</t>
  </si>
  <si>
    <t xml:space="preserve">   1. The SQL version will use SQL Server 2022 Enterprise.
   2. The region selected for this quote is Tokyo, Japan. (https://calculator.aws/#/addService)
   3. The cheapest Amazon region in Asia is Singapore, which is 2-3% cheaper than Tokyo.
   4. We recommend implementing the SQL Always On architecture for high availability. It requires at least three servers (hosts)
      - SQL Always On requires three hosts. If the primary node fails, it automatically switches to the secondary node, making it the new primary without the customer noticing.
      - The read-write separation feature improves the overall performance of the database.
   5. The reason for not recommending SQL Mirroring (which requires at least 2 servers) over SQL Always On is : 
      - SQL Always On supports multiple replicas and read-write separation and enhancing performance scalability, while Mirroring supports only one primary and one secondary replica without read-write separation.
      - Mirroring has been considered deprecated since SQL Server 2012 and is gradually being replaced by SQL Always On.
   6. Assuming the data complies with local regulations, cloud resources can be shared. For example, Thai data complies with local regulations while being stored in the JP cloud.
   7. The proposed cloud resources can support a total of 10,000 orders / week, OR 2,400 stores in the targeted countries, with each store handling up to 4 orders / week maximum and an average of 2.5 staff members / store. The hardware resources will need to be increased exponentially if the number of orders exceeds 10,000 / week.
   8. The time required for daily administrative tasks in hosting operations will be accounted for and deducted using annual maintenance man-days.</t>
  </si>
  <si>
    <r>
      <rPr>
        <sz val="10"/>
        <color rgb="FF000000"/>
        <rFont val="Helvetica Neue"/>
        <family val="2"/>
      </rPr>
      <t xml:space="preserve">Last update </t>
    </r>
    <r>
      <rPr>
        <sz val="10"/>
        <color rgb="FF000000"/>
        <rFont val="SimSun"/>
        <charset val="134"/>
      </rPr>
      <t>：</t>
    </r>
    <r>
      <rPr>
        <sz val="10"/>
        <color rgb="FF000000"/>
        <rFont val="Helvetica Neue"/>
        <family val="2"/>
      </rPr>
      <t xml:space="preserve"> 2025-03-20</t>
    </r>
  </si>
  <si>
    <t>Contry 1</t>
  </si>
  <si>
    <t>#of Store</t>
  </si>
  <si>
    <t>Japan</t>
  </si>
  <si>
    <t>Contry 2</t>
  </si>
  <si>
    <t>Thai</t>
  </si>
  <si>
    <t>Contry 3</t>
  </si>
  <si>
    <t>Eng.</t>
  </si>
  <si>
    <t>Contry 4</t>
  </si>
  <si>
    <t>Total #of Contry</t>
  </si>
  <si>
    <t>Total #of Store</t>
  </si>
  <si>
    <t>#of Staff / Store</t>
  </si>
  <si>
    <t>Turnover Rate</t>
  </si>
  <si>
    <t>Total #of Staff</t>
  </si>
  <si>
    <t>Ticket / Week</t>
  </si>
  <si>
    <t>#of Ticket / Week</t>
  </si>
  <si>
    <t>#of Ticket / Month</t>
  </si>
  <si>
    <t>开单操作总文档大小及上行流量（GB）
File size and upstream traffic for a ticket (GB)</t>
  </si>
  <si>
    <t>开单操作总文档数量
file size for a ticket per month</t>
  </si>
  <si>
    <t>系统操作页面下行流量（GB）
downstream traffic (GB)</t>
  </si>
  <si>
    <t>双向总流量（GB / 月）
Bidirectional tot. traffic (GB/month)</t>
  </si>
  <si>
    <r>
      <rPr>
        <i/>
        <sz val="10"/>
        <color indexed="8"/>
        <rFont val="等线"/>
        <family val="4"/>
        <charset val="134"/>
      </rPr>
      <t xml:space="preserve">每张单含 2.78MB 附件文件
</t>
    </r>
    <r>
      <rPr>
        <sz val="10"/>
        <color indexed="8"/>
        <rFont val="等线"/>
        <family val="4"/>
        <charset val="134"/>
      </rPr>
      <t>Each ticket contains 2.78MB attachment file</t>
    </r>
  </si>
  <si>
    <r>
      <rPr>
        <i/>
        <sz val="10"/>
        <color indexed="8"/>
        <rFont val="等线"/>
        <family val="4"/>
        <charset val="134"/>
      </rPr>
      <t xml:space="preserve">每张单上传 1.7 个文件
</t>
    </r>
    <r>
      <rPr>
        <sz val="10"/>
        <color indexed="8"/>
        <rFont val="等线"/>
        <family val="4"/>
        <charset val="134"/>
      </rPr>
      <t>Each ticket needs to upload 1.7 files</t>
    </r>
  </si>
  <si>
    <r>
      <rPr>
        <i/>
        <sz val="10"/>
        <color indexed="8"/>
        <rFont val="等线"/>
        <family val="4"/>
        <charset val="134"/>
      </rPr>
      <t xml:space="preserve">每张单操作 16个页面 / 每个页面 1MB
</t>
    </r>
    <r>
      <rPr>
        <sz val="10"/>
        <color indexed="8"/>
        <rFont val="等线"/>
        <family val="4"/>
        <charset val="134"/>
      </rPr>
      <t>The processing of 1 ticket involves 16 pages, 1MB per page</t>
    </r>
  </si>
  <si>
    <t>新员工培训科目数
#of courses for new hires</t>
  </si>
  <si>
    <t>年度培训更新科目数
#of annual course update</t>
  </si>
  <si>
    <t>总课程文件大小（MB）
Tot. size of courses</t>
  </si>
  <si>
    <t>平均课程文件大小（MB）
Average size of one course (MB)</t>
  </si>
  <si>
    <t>全员启动培训流量（GB）
Tot. traffic for all staff startup training (GB)</t>
  </si>
  <si>
    <t>新员工完整培训流量（GB）
Tot. traffic for complete new hire training (GB)</t>
  </si>
  <si>
    <t>年度更新课程流量（GB）
Annual course update traffic (GB)</t>
  </si>
  <si>
    <t xml:space="preserve">培训总流量（GB / 月）
Tot. traffic （GB/month) </t>
  </si>
  <si>
    <t>项目
Item</t>
  </si>
  <si>
    <t>配置
Configuration</t>
  </si>
  <si>
    <t>单价/月
Unit Cost/Month</t>
  </si>
  <si>
    <t>数量
Qty.</t>
  </si>
  <si>
    <t>月成本（USD）
Cost / Month (USD)</t>
  </si>
  <si>
    <t>年成本（USD）
Cost / Year (USD)</t>
  </si>
  <si>
    <t>External Line Bandwidth</t>
  </si>
  <si>
    <r>
      <rPr>
        <sz val="10"/>
        <color indexed="8"/>
        <rFont val="Helvetica Neue"/>
        <family val="2"/>
      </rPr>
      <t xml:space="preserve">Elastic Load Balancing - ALB Layer 7 </t>
    </r>
    <r>
      <rPr>
        <sz val="10"/>
        <color indexed="8"/>
        <rFont val="SimSun"/>
        <charset val="134"/>
      </rPr>
      <t>（开启</t>
    </r>
    <r>
      <rPr>
        <sz val="10"/>
        <color indexed="8"/>
        <rFont val="Helvetica Neue"/>
        <family val="2"/>
      </rPr>
      <t>WAF</t>
    </r>
    <r>
      <rPr>
        <sz val="10"/>
        <color indexed="8"/>
        <rFont val="SimSun"/>
        <charset val="134"/>
      </rPr>
      <t>：</t>
    </r>
    <r>
      <rPr>
        <sz val="10"/>
        <color indexed="8"/>
        <rFont val="Helvetica Neue"/>
        <family val="2"/>
      </rPr>
      <t>19</t>
    </r>
    <r>
      <rPr>
        <sz val="10"/>
        <color indexed="8"/>
        <rFont val="SimSun"/>
        <charset val="134"/>
      </rPr>
      <t>个规则，</t>
    </r>
    <r>
      <rPr>
        <sz val="10"/>
        <color indexed="8"/>
        <rFont val="Helvetica Neue"/>
        <family val="2"/>
      </rPr>
      <t>1</t>
    </r>
    <r>
      <rPr>
        <sz val="10"/>
        <color indexed="8"/>
        <rFont val="SimSun"/>
        <charset val="134"/>
      </rPr>
      <t>个</t>
    </r>
    <r>
      <rPr>
        <sz val="10"/>
        <color indexed="8"/>
        <rFont val="Helvetica Neue"/>
        <family val="2"/>
      </rPr>
      <t>ACL</t>
    </r>
    <r>
      <rPr>
        <sz val="10"/>
        <color indexed="8"/>
        <rFont val="SimSun"/>
        <charset val="134"/>
      </rPr>
      <t>，每月</t>
    </r>
    <r>
      <rPr>
        <sz val="10"/>
        <color indexed="8"/>
        <rFont val="Helvetica Neue"/>
        <family val="2"/>
      </rPr>
      <t>3000</t>
    </r>
    <r>
      <rPr>
        <sz val="10"/>
        <color indexed="8"/>
        <rFont val="SimSun"/>
        <charset val="134"/>
      </rPr>
      <t>万的求）</t>
    </r>
  </si>
  <si>
    <t>Gateway - NAT</t>
  </si>
  <si>
    <t>FSx - Storage</t>
  </si>
  <si>
    <t>多可用区域部署 / SSD</t>
  </si>
  <si>
    <t>S3 - Storage</t>
  </si>
  <si>
    <t>S3 Glacier Instant Retrieval</t>
  </si>
  <si>
    <t>AWS Systems Manager</t>
  </si>
  <si>
    <r>
      <rPr>
        <sz val="10"/>
        <color indexed="8"/>
        <rFont val="Helvetica Neue"/>
        <family val="2"/>
      </rPr>
      <t>On-Premises Instance Management</t>
    </r>
    <r>
      <rPr>
        <sz val="10"/>
        <color indexed="8"/>
        <rFont val="SimSun"/>
        <charset val="134"/>
      </rPr>
      <t>（启用标准吞吐量</t>
    </r>
    <r>
      <rPr>
        <sz val="10"/>
        <color indexed="8"/>
        <rFont val="Helvetica Neue"/>
        <family val="2"/>
      </rPr>
      <t>API</t>
    </r>
    <r>
      <rPr>
        <sz val="10"/>
        <color indexed="8"/>
        <rFont val="SimSun"/>
        <charset val="134"/>
      </rPr>
      <t>交互）；</t>
    </r>
    <r>
      <rPr>
        <sz val="10"/>
        <color indexed="8"/>
        <rFont val="Helvetica Neue"/>
        <family val="2"/>
      </rPr>
      <t xml:space="preserve">
</t>
    </r>
    <r>
      <rPr>
        <sz val="10"/>
        <color indexed="8"/>
        <rFont val="Helvetica Neue"/>
        <family val="2"/>
      </rPr>
      <t>Parameter Store</t>
    </r>
    <r>
      <rPr>
        <sz val="10"/>
        <color indexed="8"/>
        <rFont val="SimSun"/>
        <charset val="134"/>
      </rPr>
      <t>（标准实例套餐）</t>
    </r>
  </si>
  <si>
    <t>Server</t>
  </si>
  <si>
    <t>Nginx（c7i.large|2v|4G|128G）</t>
  </si>
  <si>
    <t>AD（c7i.large|2v|4G|200G）</t>
  </si>
  <si>
    <r>
      <rPr>
        <sz val="10"/>
        <color rgb="FF000000"/>
        <rFont val="Helvetica Neue"/>
        <family val="2"/>
      </rPr>
      <t>Web Server</t>
    </r>
    <r>
      <rPr>
        <sz val="10"/>
        <color rgb="FF000000"/>
        <rFont val="宋体"/>
        <charset val="134"/>
      </rPr>
      <t>（</t>
    </r>
    <r>
      <rPr>
        <sz val="10"/>
        <color rgb="FF000000"/>
        <rFont val="Helvetica Neue"/>
        <family val="2"/>
      </rPr>
      <t>r7i.large|4v|32G|1T</t>
    </r>
    <r>
      <rPr>
        <sz val="10"/>
        <color rgb="FF000000"/>
        <rFont val="宋体"/>
        <charset val="134"/>
      </rPr>
      <t>）</t>
    </r>
  </si>
  <si>
    <t>MS SQL Server（r7i.2xlarge|8v|64G|1T|包含SQL2022企业版许可）</t>
  </si>
  <si>
    <t>Job Server（m7i.large|4v|16G|256G）</t>
  </si>
  <si>
    <t>Redis（m5.large|2v|6.38G|）</t>
  </si>
  <si>
    <t>CloudWatch</t>
  </si>
  <si>
    <t>Other</t>
  </si>
  <si>
    <t>System Domain Name &amp; SSL</t>
  </si>
  <si>
    <t>Short link Domain Name &amp; Email</t>
  </si>
  <si>
    <t>Initiation Training traffic</t>
  </si>
  <si>
    <t>TOTAL (1st Year)</t>
  </si>
  <si>
    <t>TOTAL (From 2nd Year)</t>
  </si>
  <si>
    <t>Additional Country 1st year</t>
  </si>
  <si>
    <t>Additional Country 2nd year~</t>
  </si>
  <si>
    <t>Elastic Load Balancing - ALB Layer 7 （开启WAF：19个规则，1个ACL，每月3000万的求）</t>
  </si>
  <si>
    <t>On-Premises Instance Management（启用标准吞吐量API交互）；
Parameter Store（标准实例套餐）</t>
  </si>
  <si>
    <t>项目</t>
  </si>
  <si>
    <t>配置</t>
  </si>
  <si>
    <t>数量</t>
  </si>
  <si>
    <t>AWS</t>
  </si>
  <si>
    <t>IDC</t>
  </si>
  <si>
    <t>5Mbps</t>
  </si>
  <si>
    <t>Nginx</t>
  </si>
  <si>
    <t>用途</t>
  </si>
  <si>
    <t>外网带宽</t>
  </si>
  <si>
    <t>存储</t>
  </si>
  <si>
    <t>备份</t>
  </si>
  <si>
    <t>远程管理</t>
  </si>
  <si>
    <t>AD</t>
  </si>
  <si>
    <t>Web Server</t>
  </si>
  <si>
    <t>SQL Server</t>
  </si>
  <si>
    <t>Job Server</t>
  </si>
  <si>
    <t>Redis</t>
  </si>
  <si>
    <t>监控</t>
  </si>
  <si>
    <t>c7i.large|2v|4G|128G</t>
  </si>
  <si>
    <t>c7i.large|2v|4G|200G</t>
  </si>
  <si>
    <t>r7i.large|4v|32G|1T</t>
  </si>
  <si>
    <t>r7i.2xlarge|8v|64G|1T|包含SQL2022企业版许可</t>
  </si>
  <si>
    <t>m7i.large|4v|16G|256G</t>
  </si>
  <si>
    <t>m5.large|2v|6.38G</t>
  </si>
  <si>
    <t>CPU 使用率</t>
  </si>
  <si>
    <t>内存占用率</t>
  </si>
  <si>
    <t>2.14% / 24.94%</t>
  </si>
  <si>
    <t>23.15% / 25.30%</t>
  </si>
  <si>
    <t>2.53% / 6.47%</t>
  </si>
  <si>
    <t>36.21% / 33.64%</t>
  </si>
  <si>
    <t>93.51% / 88.10% / 58.32%</t>
  </si>
  <si>
    <t>16.28% / 0.75% / 0.67%</t>
  </si>
  <si>
    <t>4vCPU / 4GB</t>
  </si>
  <si>
    <t>4vCPU / 8GB</t>
  </si>
  <si>
    <t>8vCPU / 16GB</t>
  </si>
  <si>
    <t>16vCPU / 16GB</t>
  </si>
  <si>
    <t>Xeon E5-2699 v3 45M Cache @ 2.30GHz</t>
  </si>
  <si>
    <t>备注</t>
  </si>
  <si>
    <t>2.82% / 2.26% / 2.86%
1.57% / 1.87% / 1.83%</t>
  </si>
  <si>
    <t>13.92% / 13.70% / 14.06%
13.92% / 14.02% / 14.09%</t>
  </si>
  <si>
    <t>Xeon E5-2695 v2 30M Cache @ 2.40GHz</t>
  </si>
  <si>
    <t>NAS RAID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</si>
</sst>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 &quot;"/>
  </numFmts>
  <fonts count="10">
    <font>
      <sz val="10"/>
      <color indexed="8"/>
      <name val="Helvetica Neue"/>
      <charset val="134"/>
    </font>
    <font>
      <sz val="10"/>
      <color rgb="FF000000"/>
      <name val="Helvetica Neue"/>
      <family val="2"/>
    </font>
    <font>
      <i/>
      <sz val="10"/>
      <color indexed="8"/>
      <name val="等线"/>
      <family val="4"/>
      <charset val="134"/>
    </font>
    <font>
      <sz val="10"/>
      <color indexed="8"/>
      <name val="等线"/>
      <family val="4"/>
      <charset val="134"/>
    </font>
    <font>
      <sz val="10"/>
      <color rgb="FF000000"/>
      <name val="宋体"/>
      <charset val="134"/>
    </font>
    <font>
      <sz val="10"/>
      <color indexed="8"/>
      <name val="Helvetica Neue"/>
      <family val="2"/>
    </font>
    <font>
      <sz val="10"/>
      <color indexed="8"/>
      <name val="SimSun"/>
      <charset val="134"/>
    </font>
    <font>
      <sz val="10"/>
      <color rgb="FF000000"/>
      <name val="SimSun"/>
      <charset val="134"/>
    </font>
    <font>
      <sz val="11"/>
      <color indexed="8"/>
      <name val="Helvetica Neue"/>
      <family val="2"/>
    </font>
    <font>
      <sz val="12"/>
      <color indexed="8"/>
      <name val="Helvetica Neue"/>
      <family val="2"/>
    </font>
  </fonts>
  <fills count="9">
    <fill>
      <patternFill patternType="none"/>
    </fill>
    <fill>
      <patternFill patternType="gray125"/>
    </fill>
    <fill>
      <patternFill patternType="solid">
        <fgColor indexed="9"/>
        <bgColor indexed="64"/>
      </patternFill>
    </fill>
    <fill>
      <patternFill patternType="solid">
        <fgColor theme="7" tint="0.79998168889431442"/>
        <bgColor indexed="64"/>
      </patternFill>
    </fill>
    <fill>
      <gradientFill degree="270">
        <stop position="0">
          <color rgb="FFBAD6FF"/>
        </stop>
        <stop position="0.35">
          <color rgb="FFCEE1FF"/>
        </stop>
        <stop position="1">
          <color rgb="FFECF3FF"/>
        </stop>
      </gradientFill>
    </fill>
    <fill>
      <patternFill patternType="solid">
        <fgColor indexed="13"/>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4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style="thin">
        <color indexed="10"/>
      </right>
      <top/>
      <bottom/>
      <diagonal/>
    </border>
    <border>
      <left/>
      <right/>
      <top/>
      <bottom style="thin">
        <color indexed="8"/>
      </bottom>
      <diagonal/>
    </border>
    <border>
      <left style="thin">
        <color indexed="10"/>
      </left>
      <right style="thin">
        <color indexed="8"/>
      </right>
      <top/>
      <bottom/>
      <diagonal/>
    </border>
    <border>
      <left style="thin">
        <color indexed="8"/>
      </left>
      <right style="thin">
        <color indexed="8"/>
      </right>
      <top style="thin">
        <color indexed="8"/>
      </top>
      <bottom style="thick">
        <color indexed="8"/>
      </bottom>
      <diagonal/>
    </border>
    <border>
      <left style="thin">
        <color indexed="8"/>
      </left>
      <right/>
      <top/>
      <bottom/>
      <diagonal/>
    </border>
    <border>
      <left style="thin">
        <color indexed="10"/>
      </left>
      <right style="thick">
        <color indexed="8"/>
      </right>
      <top/>
      <bottom/>
      <diagonal/>
    </border>
    <border>
      <left style="thick">
        <color indexed="8"/>
      </left>
      <right style="thick">
        <color indexed="8"/>
      </right>
      <top style="thick">
        <color indexed="8"/>
      </top>
      <bottom style="thick">
        <color indexed="8"/>
      </bottom>
      <diagonal/>
    </border>
    <border>
      <left style="thick">
        <color indexed="8"/>
      </left>
      <right/>
      <top/>
      <bottom/>
      <diagonal/>
    </border>
    <border>
      <left/>
      <right/>
      <top style="thick">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n">
        <color indexed="8"/>
      </bottom>
      <diagonal/>
    </border>
    <border>
      <left/>
      <right/>
      <top style="thin">
        <color indexed="8"/>
      </top>
      <bottom/>
      <diagonal/>
    </border>
    <border>
      <left/>
      <right/>
      <top style="thick">
        <color indexed="8"/>
      </top>
      <bottom/>
      <diagonal/>
    </border>
    <border>
      <left/>
      <right style="thin">
        <color indexed="8"/>
      </right>
      <top/>
      <bottom/>
      <diagonal/>
    </border>
    <border>
      <left/>
      <right style="thick">
        <color indexed="8"/>
      </right>
      <top/>
      <bottom/>
      <diagonal/>
    </border>
    <border>
      <left style="thick">
        <color indexed="8"/>
      </left>
      <right style="thick">
        <color indexed="8"/>
      </right>
      <top style="thin">
        <color indexed="8"/>
      </top>
      <bottom style="thin">
        <color indexed="8"/>
      </bottom>
      <diagonal/>
    </border>
    <border>
      <left/>
      <right/>
      <top style="thin">
        <color indexed="8"/>
      </top>
      <bottom style="thin">
        <color indexed="8"/>
      </bottom>
      <diagonal/>
    </border>
    <border>
      <left/>
      <right style="thin">
        <color indexed="10"/>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10"/>
      </left>
      <right style="thin">
        <color indexed="8"/>
      </right>
      <top/>
      <bottom style="thin">
        <color indexed="10"/>
      </bottom>
      <diagonal/>
    </border>
    <border>
      <left/>
      <right style="thin">
        <color indexed="10"/>
      </right>
      <top style="thin">
        <color indexed="8"/>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applyNumberFormat="0" applyFill="0" applyBorder="0" applyProtection="0">
      <alignment vertical="top" wrapText="1"/>
    </xf>
  </cellStyleXfs>
  <cellXfs count="100">
    <xf numFmtId="0" fontId="0" fillId="0" borderId="0" xfId="0">
      <alignment vertical="top" wrapText="1"/>
    </xf>
    <xf numFmtId="0" fontId="0" fillId="0" borderId="0" xfId="0" applyNumberFormat="1">
      <alignment vertical="top" wrapText="1"/>
    </xf>
    <xf numFmtId="49" fontId="0" fillId="2" borderId="1" xfId="0" applyNumberFormat="1" applyFill="1" applyBorder="1"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49" fontId="1" fillId="2" borderId="4" xfId="0" applyNumberFormat="1" applyFont="1" applyFill="1" applyBorder="1" applyAlignment="1">
      <alignment vertical="center"/>
    </xf>
    <xf numFmtId="0" fontId="0" fillId="2" borderId="0" xfId="0" applyFill="1" applyBorder="1" applyAlignment="1">
      <alignment vertical="center"/>
    </xf>
    <xf numFmtId="0" fontId="0" fillId="2" borderId="5" xfId="0" applyFill="1" applyBorder="1" applyAlignment="1">
      <alignment vertical="center"/>
    </xf>
    <xf numFmtId="49" fontId="0" fillId="2" borderId="4" xfId="0" applyNumberFormat="1" applyFill="1" applyBorder="1" applyAlignment="1">
      <alignment vertical="center"/>
    </xf>
    <xf numFmtId="0" fontId="0" fillId="2" borderId="6" xfId="0" applyFill="1" applyBorder="1" applyAlignment="1">
      <alignment vertical="center"/>
    </xf>
    <xf numFmtId="0" fontId="0" fillId="2" borderId="7" xfId="0" applyFill="1" applyBorder="1" applyAlignment="1">
      <alignment vertical="center"/>
    </xf>
    <xf numFmtId="49" fontId="0" fillId="3" borderId="8" xfId="0" applyNumberFormat="1" applyFill="1" applyBorder="1" applyAlignment="1">
      <alignment vertical="center"/>
    </xf>
    <xf numFmtId="49" fontId="0" fillId="2" borderId="9" xfId="0" applyNumberFormat="1" applyFill="1" applyBorder="1" applyAlignment="1">
      <alignment vertical="center"/>
    </xf>
    <xf numFmtId="49" fontId="0" fillId="2" borderId="0" xfId="0" applyNumberFormat="1" applyFill="1" applyBorder="1" applyAlignment="1">
      <alignment vertical="center"/>
    </xf>
    <xf numFmtId="0" fontId="0" fillId="2" borderId="10" xfId="0" applyFill="1" applyBorder="1" applyAlignment="1">
      <alignment vertical="center"/>
    </xf>
    <xf numFmtId="49" fontId="0" fillId="4" borderId="11" xfId="0" applyNumberFormat="1" applyFill="1" applyBorder="1" applyAlignment="1">
      <alignment vertical="center"/>
    </xf>
    <xf numFmtId="0" fontId="0" fillId="4" borderId="11" xfId="0" applyNumberFormat="1" applyFill="1" applyBorder="1" applyAlignment="1">
      <alignment vertical="center"/>
    </xf>
    <xf numFmtId="1" fontId="0" fillId="2" borderId="12" xfId="0" applyNumberFormat="1" applyFill="1" applyBorder="1" applyAlignment="1">
      <alignment vertical="center"/>
    </xf>
    <xf numFmtId="9" fontId="0" fillId="2" borderId="0" xfId="0" applyNumberFormat="1" applyFill="1" applyBorder="1" applyAlignment="1">
      <alignment vertical="center"/>
    </xf>
    <xf numFmtId="1" fontId="0" fillId="2" borderId="0" xfId="0" applyNumberFormat="1" applyFill="1" applyBorder="1" applyAlignment="1">
      <alignment vertical="center"/>
    </xf>
    <xf numFmtId="0" fontId="0" fillId="2" borderId="13" xfId="0" applyFill="1" applyBorder="1" applyAlignment="1">
      <alignment vertical="center"/>
    </xf>
    <xf numFmtId="0" fontId="0" fillId="2" borderId="4" xfId="0" applyFill="1" applyBorder="1" applyAlignment="1">
      <alignment vertical="center"/>
    </xf>
    <xf numFmtId="1" fontId="0" fillId="2" borderId="9" xfId="0" applyNumberFormat="1" applyFill="1" applyBorder="1" applyAlignment="1">
      <alignment vertical="center"/>
    </xf>
    <xf numFmtId="0" fontId="0" fillId="4" borderId="11" xfId="0" applyFill="1" applyBorder="1" applyAlignment="1">
      <alignment vertical="center"/>
    </xf>
    <xf numFmtId="49" fontId="0" fillId="3" borderId="14" xfId="0" applyNumberFormat="1" applyFill="1" applyBorder="1" applyAlignment="1">
      <alignment vertical="center"/>
    </xf>
    <xf numFmtId="0" fontId="0" fillId="2" borderId="15" xfId="0" applyFill="1" applyBorder="1" applyAlignment="1">
      <alignment vertical="center"/>
    </xf>
    <xf numFmtId="0" fontId="0" fillId="2" borderId="14" xfId="0" applyNumberFormat="1" applyFill="1" applyBorder="1" applyAlignment="1">
      <alignment vertical="center"/>
    </xf>
    <xf numFmtId="0" fontId="0" fillId="2" borderId="16" xfId="0" applyNumberFormat="1" applyFill="1" applyBorder="1" applyAlignment="1">
      <alignment vertical="center"/>
    </xf>
    <xf numFmtId="1" fontId="0" fillId="4" borderId="11" xfId="0" applyNumberFormat="1" applyFill="1" applyBorder="1" applyAlignment="1">
      <alignment vertical="center"/>
    </xf>
    <xf numFmtId="9" fontId="0" fillId="4" borderId="11" xfId="0" applyNumberFormat="1" applyFill="1" applyBorder="1" applyAlignment="1">
      <alignment vertical="center"/>
    </xf>
    <xf numFmtId="1" fontId="0" fillId="2" borderId="17" xfId="0" applyNumberFormat="1" applyFill="1" applyBorder="1" applyAlignment="1">
      <alignment vertical="center"/>
    </xf>
    <xf numFmtId="0" fontId="0" fillId="2" borderId="18" xfId="0" applyFill="1" applyBorder="1" applyAlignment="1">
      <alignment vertical="center"/>
    </xf>
    <xf numFmtId="0" fontId="0" fillId="2" borderId="19" xfId="0" applyFill="1" applyBorder="1" applyAlignment="1">
      <alignment vertical="center"/>
    </xf>
    <xf numFmtId="2" fontId="0" fillId="2" borderId="18" xfId="0" applyNumberFormat="1" applyFill="1" applyBorder="1" applyAlignment="1">
      <alignment vertical="center"/>
    </xf>
    <xf numFmtId="0" fontId="2" fillId="2" borderId="5" xfId="0" applyFont="1" applyFill="1" applyBorder="1" applyAlignment="1">
      <alignment horizontal="center" vertical="center"/>
    </xf>
    <xf numFmtId="2" fontId="0" fillId="2" borderId="0" xfId="0" applyNumberFormat="1" applyFill="1" applyBorder="1" applyAlignment="1">
      <alignment vertical="center"/>
    </xf>
    <xf numFmtId="0" fontId="0" fillId="2" borderId="20" xfId="0" applyFill="1" applyBorder="1" applyAlignment="1">
      <alignment vertical="center"/>
    </xf>
    <xf numFmtId="2" fontId="0" fillId="2" borderId="9" xfId="0" applyNumberFormat="1" applyFill="1" applyBorder="1" applyAlignment="1">
      <alignment vertical="center"/>
    </xf>
    <xf numFmtId="2" fontId="0" fillId="2" borderId="5" xfId="0" applyNumberFormat="1" applyFill="1" applyBorder="1" applyAlignment="1">
      <alignment vertical="center"/>
    </xf>
    <xf numFmtId="0" fontId="0" fillId="2" borderId="21" xfId="0" applyFill="1" applyBorder="1" applyAlignment="1">
      <alignment vertical="center"/>
    </xf>
    <xf numFmtId="0" fontId="0" fillId="2" borderId="17" xfId="0" applyNumberFormat="1" applyFill="1" applyBorder="1" applyAlignment="1">
      <alignment vertical="center"/>
    </xf>
    <xf numFmtId="1" fontId="0" fillId="2" borderId="14" xfId="0" applyNumberFormat="1" applyFill="1" applyBorder="1" applyAlignment="1">
      <alignment vertical="center"/>
    </xf>
    <xf numFmtId="2" fontId="0" fillId="2" borderId="6" xfId="0" applyNumberFormat="1" applyFill="1" applyBorder="1" applyAlignment="1">
      <alignment vertical="center"/>
    </xf>
    <xf numFmtId="49" fontId="3" fillId="3" borderId="14" xfId="0" applyNumberFormat="1" applyFont="1" applyFill="1" applyBorder="1" applyAlignment="1">
      <alignment horizontal="center" vertical="center" wrapText="1"/>
    </xf>
    <xf numFmtId="2" fontId="0" fillId="2" borderId="15" xfId="0" applyNumberFormat="1" applyFill="1" applyBorder="1" applyAlignment="1">
      <alignment vertical="center"/>
    </xf>
    <xf numFmtId="2" fontId="0" fillId="2" borderId="14" xfId="0" applyNumberFormat="1" applyFill="1" applyBorder="1" applyAlignment="1">
      <alignment vertical="center"/>
    </xf>
    <xf numFmtId="0" fontId="0" fillId="2" borderId="4" xfId="0" applyFill="1" applyBorder="1" applyAlignment="1">
      <alignment vertical="center" wrapText="1"/>
    </xf>
    <xf numFmtId="0" fontId="0" fillId="2" borderId="20" xfId="0" applyFill="1" applyBorder="1" applyAlignment="1">
      <alignment vertical="center" wrapText="1"/>
    </xf>
    <xf numFmtId="49" fontId="2" fillId="2" borderId="14" xfId="0" applyNumberFormat="1" applyFont="1" applyFill="1" applyBorder="1" applyAlignment="1">
      <alignment horizontal="center" vertical="center" wrapText="1"/>
    </xf>
    <xf numFmtId="2" fontId="0" fillId="2" borderId="14" xfId="0" applyNumberFormat="1" applyFill="1" applyBorder="1" applyAlignment="1">
      <alignment vertical="center" wrapText="1"/>
    </xf>
    <xf numFmtId="2" fontId="0" fillId="2" borderId="15" xfId="0" applyNumberFormat="1" applyFill="1" applyBorder="1" applyAlignment="1">
      <alignment vertical="center" wrapText="1"/>
    </xf>
    <xf numFmtId="1" fontId="0" fillId="4" borderId="22" xfId="0" applyNumberFormat="1" applyFill="1" applyBorder="1" applyAlignment="1">
      <alignment vertical="center"/>
    </xf>
    <xf numFmtId="0" fontId="2" fillId="2" borderId="0" xfId="0" applyFont="1" applyFill="1" applyBorder="1" applyAlignment="1">
      <alignment horizontal="center" vertical="center"/>
    </xf>
    <xf numFmtId="0" fontId="2" fillId="2" borderId="23" xfId="0" applyFont="1" applyFill="1" applyBorder="1" applyAlignment="1">
      <alignment horizontal="center" vertical="center"/>
    </xf>
    <xf numFmtId="0" fontId="0" fillId="2" borderId="23" xfId="0" applyFill="1" applyBorder="1" applyAlignment="1">
      <alignment vertical="center"/>
    </xf>
    <xf numFmtId="2" fontId="2" fillId="2" borderId="23" xfId="0" applyNumberFormat="1" applyFont="1" applyFill="1" applyBorder="1" applyAlignment="1">
      <alignment horizontal="center" vertical="center"/>
    </xf>
    <xf numFmtId="0" fontId="2" fillId="2" borderId="20" xfId="0" applyFont="1" applyFill="1" applyBorder="1" applyAlignment="1">
      <alignment horizontal="center" vertical="center" wrapText="1"/>
    </xf>
    <xf numFmtId="0" fontId="2" fillId="2" borderId="20" xfId="0" applyFont="1" applyFill="1" applyBorder="1" applyAlignment="1">
      <alignment horizontal="center" vertical="center"/>
    </xf>
    <xf numFmtId="0" fontId="0" fillId="2" borderId="24" xfId="0" applyFill="1" applyBorder="1" applyAlignment="1">
      <alignment vertical="center"/>
    </xf>
    <xf numFmtId="49" fontId="0" fillId="3" borderId="14" xfId="0" applyNumberFormat="1" applyFill="1" applyBorder="1" applyAlignment="1">
      <alignment vertical="center" wrapText="1"/>
    </xf>
    <xf numFmtId="49" fontId="0" fillId="2" borderId="14" xfId="0" applyNumberFormat="1" applyFill="1" applyBorder="1" applyAlignment="1">
      <alignment vertical="center"/>
    </xf>
    <xf numFmtId="49" fontId="0" fillId="2" borderId="14" xfId="0" applyNumberFormat="1" applyFill="1" applyBorder="1" applyAlignment="1">
      <alignment vertical="center" wrapText="1"/>
    </xf>
    <xf numFmtId="3" fontId="0" fillId="2" borderId="14" xfId="0" applyNumberFormat="1" applyFill="1" applyBorder="1" applyAlignment="1">
      <alignment vertical="center"/>
    </xf>
    <xf numFmtId="0" fontId="0" fillId="2" borderId="14" xfId="0" applyFill="1" applyBorder="1" applyAlignment="1">
      <alignment vertical="center"/>
    </xf>
    <xf numFmtId="49" fontId="1" fillId="2" borderId="14" xfId="0" applyNumberFormat="1" applyFont="1" applyFill="1" applyBorder="1" applyAlignment="1">
      <alignment vertical="center"/>
    </xf>
    <xf numFmtId="49" fontId="1" fillId="2" borderId="14" xfId="0" applyNumberFormat="1" applyFont="1" applyFill="1" applyBorder="1" applyAlignment="1">
      <alignment vertical="center" wrapText="1"/>
    </xf>
    <xf numFmtId="0" fontId="0" fillId="2" borderId="14" xfId="0" applyNumberFormat="1" applyFill="1" applyBorder="1" applyAlignment="1">
      <alignment horizontal="right" vertical="center"/>
    </xf>
    <xf numFmtId="49" fontId="0" fillId="5" borderId="14" xfId="0" applyNumberFormat="1" applyFill="1" applyBorder="1" applyAlignment="1">
      <alignment vertical="center"/>
    </xf>
    <xf numFmtId="0" fontId="0" fillId="5" borderId="14" xfId="0" applyFill="1" applyBorder="1" applyAlignment="1">
      <alignment vertical="center"/>
    </xf>
    <xf numFmtId="3" fontId="3" fillId="5" borderId="14" xfId="0" applyNumberFormat="1" applyFont="1" applyFill="1" applyBorder="1" applyAlignment="1">
      <alignment horizontal="right" vertical="center"/>
    </xf>
    <xf numFmtId="0" fontId="0" fillId="2" borderId="28" xfId="0" applyFill="1" applyBorder="1" applyAlignment="1">
      <alignment vertical="center"/>
    </xf>
    <xf numFmtId="0" fontId="0" fillId="2" borderId="1" xfId="0" applyFill="1" applyBorder="1">
      <alignment vertical="top" wrapText="1"/>
    </xf>
    <xf numFmtId="49" fontId="0" fillId="2" borderId="18" xfId="0" applyNumberFormat="1" applyFill="1" applyBorder="1" applyAlignment="1">
      <alignment vertical="center" wrapText="1"/>
    </xf>
    <xf numFmtId="0" fontId="0" fillId="2" borderId="18" xfId="0" applyFill="1" applyBorder="1">
      <alignment vertical="top" wrapText="1"/>
    </xf>
    <xf numFmtId="164" fontId="0" fillId="2" borderId="29" xfId="0" applyNumberFormat="1" applyFill="1" applyBorder="1" applyAlignment="1">
      <alignment horizontal="right" vertical="top" wrapText="1"/>
    </xf>
    <xf numFmtId="0" fontId="0" fillId="2" borderId="30" xfId="0" applyFill="1" applyBorder="1">
      <alignment vertical="top" wrapText="1"/>
    </xf>
    <xf numFmtId="49" fontId="0" fillId="2" borderId="31" xfId="0" applyNumberFormat="1" applyFill="1" applyBorder="1" applyAlignment="1">
      <alignment vertical="center" wrapText="1"/>
    </xf>
    <xf numFmtId="0" fontId="0" fillId="2" borderId="31" xfId="0" applyFill="1" applyBorder="1">
      <alignment vertical="top" wrapText="1"/>
    </xf>
    <xf numFmtId="164" fontId="0" fillId="2" borderId="32" xfId="0" applyNumberFormat="1" applyFill="1" applyBorder="1" applyAlignment="1">
      <alignment horizontal="right" vertical="top" wrapText="1"/>
    </xf>
    <xf numFmtId="0" fontId="9" fillId="0" borderId="0" xfId="0" applyFont="1" applyAlignment="1">
      <alignment horizontal="center" vertical="center" wrapText="1"/>
    </xf>
    <xf numFmtId="0" fontId="9" fillId="6" borderId="33" xfId="0" applyFont="1" applyFill="1" applyBorder="1" applyAlignment="1">
      <alignment horizontal="center" vertical="center" wrapText="1"/>
    </xf>
    <xf numFmtId="0" fontId="9" fillId="7" borderId="33" xfId="0" applyFont="1" applyFill="1" applyBorder="1" applyAlignment="1">
      <alignment horizontal="center" vertical="center" wrapText="1"/>
    </xf>
    <xf numFmtId="0" fontId="9" fillId="8" borderId="33" xfId="0" applyFont="1" applyFill="1" applyBorder="1" applyAlignment="1">
      <alignment horizontal="center" vertical="center" wrapText="1"/>
    </xf>
    <xf numFmtId="0" fontId="9" fillId="8" borderId="33" xfId="0" applyFont="1" applyFill="1" applyBorder="1" applyAlignment="1">
      <alignment horizontal="center" vertical="center" wrapText="1"/>
    </xf>
    <xf numFmtId="0" fontId="9" fillId="6" borderId="34" xfId="0" applyFont="1" applyFill="1" applyBorder="1" applyAlignment="1">
      <alignment horizontal="center" vertical="center" wrapText="1"/>
    </xf>
    <xf numFmtId="0" fontId="9" fillId="6" borderId="35" xfId="0" applyFont="1" applyFill="1" applyBorder="1" applyAlignment="1">
      <alignment horizontal="center" vertical="center" wrapText="1"/>
    </xf>
    <xf numFmtId="0" fontId="9" fillId="7" borderId="34" xfId="0" applyFont="1" applyFill="1" applyBorder="1" applyAlignment="1">
      <alignment horizontal="center" vertical="center" wrapText="1"/>
    </xf>
    <xf numFmtId="0" fontId="9" fillId="7" borderId="36" xfId="0" applyFont="1" applyFill="1" applyBorder="1" applyAlignment="1">
      <alignment horizontal="center" vertical="center" wrapText="1"/>
    </xf>
    <xf numFmtId="0" fontId="9" fillId="7" borderId="35" xfId="0" applyFont="1" applyFill="1" applyBorder="1" applyAlignment="1">
      <alignment horizontal="center" vertical="center" wrapText="1"/>
    </xf>
    <xf numFmtId="0" fontId="9" fillId="8" borderId="37" xfId="0" applyFont="1" applyFill="1" applyBorder="1" applyAlignment="1">
      <alignment horizontal="center" vertical="center" wrapText="1"/>
    </xf>
    <xf numFmtId="0" fontId="9" fillId="8" borderId="38" xfId="0" applyFont="1" applyFill="1" applyBorder="1" applyAlignment="1">
      <alignment horizontal="center" vertical="center" wrapText="1"/>
    </xf>
    <xf numFmtId="0" fontId="9" fillId="8" borderId="39" xfId="0" applyFont="1" applyFill="1" applyBorder="1" applyAlignment="1">
      <alignment horizontal="center" vertical="center" wrapText="1"/>
    </xf>
    <xf numFmtId="49" fontId="1" fillId="2" borderId="4" xfId="0" applyNumberFormat="1" applyFont="1" applyFill="1" applyBorder="1" applyAlignment="1">
      <alignment vertical="center" wrapText="1"/>
    </xf>
    <xf numFmtId="0" fontId="0" fillId="2" borderId="0" xfId="0" applyFill="1" applyBorder="1">
      <alignment vertical="top" wrapText="1"/>
    </xf>
    <xf numFmtId="0" fontId="0" fillId="2" borderId="5" xfId="0" applyFill="1" applyBorder="1">
      <alignment vertical="top" wrapText="1"/>
    </xf>
    <xf numFmtId="49" fontId="0" fillId="2" borderId="14" xfId="0" applyNumberFormat="1" applyFill="1" applyBorder="1" applyAlignment="1">
      <alignment vertical="center"/>
    </xf>
    <xf numFmtId="0" fontId="0" fillId="2" borderId="14" xfId="0" applyFill="1" applyBorder="1" applyAlignment="1">
      <alignment vertical="center"/>
    </xf>
    <xf numFmtId="49" fontId="0" fillId="2" borderId="25" xfId="0" applyNumberFormat="1" applyFill="1" applyBorder="1" applyAlignment="1">
      <alignment vertical="center"/>
    </xf>
    <xf numFmtId="0" fontId="0" fillId="2" borderId="26" xfId="0" applyFill="1" applyBorder="1" applyAlignment="1">
      <alignment vertical="center"/>
    </xf>
    <xf numFmtId="0" fontId="0" fillId="2" borderId="27" xfId="0" applyFill="1" applyBorder="1" applyAlignme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0FC06-FC14-664E-A443-4711B2B19621}">
  <dimension ref="A1:I13"/>
  <sheetViews>
    <sheetView tabSelected="1" workbookViewId="0">
      <selection sqref="A1:A2"/>
    </sheetView>
  </sheetViews>
  <sheetFormatPr baseColWidth="10" defaultRowHeight="16"/>
  <cols>
    <col min="1" max="1" width="23.1640625" style="79" bestFit="1" customWidth="1"/>
    <col min="2" max="2" width="19.5" style="79" customWidth="1"/>
    <col min="3" max="3" width="54.5" style="79" customWidth="1"/>
    <col min="4" max="4" width="12.6640625" style="79" customWidth="1"/>
    <col min="5" max="5" width="21.1640625" style="79" customWidth="1"/>
    <col min="6" max="6" width="11" style="79" customWidth="1"/>
    <col min="7" max="7" width="27.33203125" style="79" customWidth="1"/>
    <col min="8" max="8" width="30.5" style="79" customWidth="1"/>
    <col min="9" max="9" width="41" style="79" customWidth="1"/>
    <col min="10" max="16384" width="10.83203125" style="79"/>
  </cols>
  <sheetData>
    <row r="1" spans="1:9" ht="21" customHeight="1">
      <c r="A1" s="89" t="s">
        <v>67</v>
      </c>
      <c r="B1" s="91" t="s">
        <v>74</v>
      </c>
      <c r="C1" s="84" t="s">
        <v>70</v>
      </c>
      <c r="D1" s="85"/>
      <c r="E1" s="86" t="s">
        <v>71</v>
      </c>
      <c r="F1" s="87"/>
      <c r="G1" s="87"/>
      <c r="H1" s="87"/>
      <c r="I1" s="88"/>
    </row>
    <row r="2" spans="1:9" ht="24" customHeight="1">
      <c r="A2" s="90"/>
      <c r="B2" s="90"/>
      <c r="C2" s="80" t="s">
        <v>68</v>
      </c>
      <c r="D2" s="80" t="s">
        <v>69</v>
      </c>
      <c r="E2" s="81" t="s">
        <v>68</v>
      </c>
      <c r="F2" s="81" t="s">
        <v>69</v>
      </c>
      <c r="G2" s="81" t="s">
        <v>91</v>
      </c>
      <c r="H2" s="81" t="s">
        <v>92</v>
      </c>
      <c r="I2" s="81" t="s">
        <v>104</v>
      </c>
    </row>
    <row r="3" spans="1:9" ht="34">
      <c r="A3" s="82" t="s">
        <v>40</v>
      </c>
      <c r="B3" s="82" t="s">
        <v>75</v>
      </c>
      <c r="C3" s="80" t="s">
        <v>65</v>
      </c>
      <c r="D3" s="80">
        <v>1</v>
      </c>
      <c r="E3" s="81" t="s">
        <v>72</v>
      </c>
      <c r="F3" s="81">
        <v>1</v>
      </c>
      <c r="G3" s="81"/>
      <c r="H3" s="81"/>
      <c r="I3" s="81"/>
    </row>
    <row r="4" spans="1:9" ht="20" customHeight="1">
      <c r="A4" s="82" t="s">
        <v>43</v>
      </c>
      <c r="B4" s="82" t="s">
        <v>76</v>
      </c>
      <c r="C4" s="80" t="s">
        <v>44</v>
      </c>
      <c r="D4" s="80">
        <v>1</v>
      </c>
      <c r="E4" s="81" t="s">
        <v>108</v>
      </c>
      <c r="F4" s="81">
        <v>1</v>
      </c>
      <c r="G4" s="81"/>
      <c r="H4" s="81"/>
      <c r="I4" s="81"/>
    </row>
    <row r="5" spans="1:9" ht="20" customHeight="1">
      <c r="A5" s="82" t="s">
        <v>45</v>
      </c>
      <c r="B5" s="82" t="s">
        <v>77</v>
      </c>
      <c r="C5" s="80" t="s">
        <v>46</v>
      </c>
      <c r="D5" s="80">
        <v>1</v>
      </c>
      <c r="E5" s="81" t="s">
        <v>108</v>
      </c>
      <c r="F5" s="81">
        <v>1</v>
      </c>
      <c r="G5" s="81"/>
      <c r="H5" s="81"/>
      <c r="I5" s="81"/>
    </row>
    <row r="6" spans="1:9" ht="51">
      <c r="A6" s="82" t="s">
        <v>47</v>
      </c>
      <c r="B6" s="82" t="s">
        <v>78</v>
      </c>
      <c r="C6" s="80" t="s">
        <v>66</v>
      </c>
      <c r="D6" s="80">
        <v>1</v>
      </c>
      <c r="E6" s="81"/>
      <c r="F6" s="81"/>
      <c r="G6" s="81"/>
      <c r="H6" s="81"/>
      <c r="I6" s="81"/>
    </row>
    <row r="7" spans="1:9" ht="20" customHeight="1">
      <c r="A7" s="83" t="s">
        <v>49</v>
      </c>
      <c r="B7" s="82" t="s">
        <v>73</v>
      </c>
      <c r="C7" s="80" t="s">
        <v>85</v>
      </c>
      <c r="D7" s="80">
        <v>2</v>
      </c>
      <c r="E7" s="81" t="s">
        <v>99</v>
      </c>
      <c r="F7" s="81">
        <v>2</v>
      </c>
      <c r="G7" s="81" t="s">
        <v>93</v>
      </c>
      <c r="H7" s="81" t="s">
        <v>94</v>
      </c>
      <c r="I7" s="81" t="s">
        <v>103</v>
      </c>
    </row>
    <row r="8" spans="1:9" ht="20" customHeight="1">
      <c r="A8" s="83"/>
      <c r="B8" s="82" t="s">
        <v>79</v>
      </c>
      <c r="C8" s="80" t="s">
        <v>86</v>
      </c>
      <c r="D8" s="80">
        <v>2</v>
      </c>
      <c r="E8" s="81" t="s">
        <v>100</v>
      </c>
      <c r="F8" s="81">
        <v>2</v>
      </c>
      <c r="G8" s="81"/>
      <c r="H8" s="81"/>
      <c r="I8" s="81" t="s">
        <v>103</v>
      </c>
    </row>
    <row r="9" spans="1:9" ht="20" customHeight="1">
      <c r="A9" s="83"/>
      <c r="B9" s="82" t="s">
        <v>80</v>
      </c>
      <c r="C9" s="80" t="s">
        <v>87</v>
      </c>
      <c r="D9" s="80">
        <v>2</v>
      </c>
      <c r="E9" s="81" t="s">
        <v>101</v>
      </c>
      <c r="F9" s="81">
        <v>2</v>
      </c>
      <c r="G9" s="81" t="s">
        <v>95</v>
      </c>
      <c r="H9" s="81" t="s">
        <v>96</v>
      </c>
      <c r="I9" s="81" t="s">
        <v>103</v>
      </c>
    </row>
    <row r="10" spans="1:9" ht="20" customHeight="1">
      <c r="A10" s="83"/>
      <c r="B10" s="82" t="s">
        <v>81</v>
      </c>
      <c r="C10" s="80" t="s">
        <v>88</v>
      </c>
      <c r="D10" s="80">
        <v>3</v>
      </c>
      <c r="E10" s="81" t="s">
        <v>102</v>
      </c>
      <c r="F10" s="81">
        <v>3</v>
      </c>
      <c r="G10" s="81" t="s">
        <v>98</v>
      </c>
      <c r="H10" s="81" t="s">
        <v>97</v>
      </c>
      <c r="I10" s="81" t="s">
        <v>103</v>
      </c>
    </row>
    <row r="11" spans="1:9" ht="20" customHeight="1">
      <c r="A11" s="83"/>
      <c r="B11" s="82" t="s">
        <v>82</v>
      </c>
      <c r="C11" s="80" t="s">
        <v>89</v>
      </c>
      <c r="D11" s="80">
        <v>1</v>
      </c>
      <c r="E11" s="81" t="s">
        <v>100</v>
      </c>
      <c r="F11" s="81">
        <v>1</v>
      </c>
      <c r="G11" s="81"/>
      <c r="H11" s="81"/>
      <c r="I11" s="81" t="s">
        <v>103</v>
      </c>
    </row>
    <row r="12" spans="1:9" ht="34">
      <c r="A12" s="83"/>
      <c r="B12" s="82" t="s">
        <v>83</v>
      </c>
      <c r="C12" s="80" t="s">
        <v>90</v>
      </c>
      <c r="D12" s="80">
        <v>2</v>
      </c>
      <c r="E12" s="81" t="s">
        <v>100</v>
      </c>
      <c r="F12" s="81">
        <v>6</v>
      </c>
      <c r="G12" s="81" t="s">
        <v>105</v>
      </c>
      <c r="H12" s="81" t="s">
        <v>106</v>
      </c>
      <c r="I12" s="81" t="s">
        <v>107</v>
      </c>
    </row>
    <row r="13" spans="1:9" ht="20" customHeight="1">
      <c r="A13" s="83"/>
      <c r="B13" s="82" t="s">
        <v>84</v>
      </c>
      <c r="C13" s="80" t="s">
        <v>56</v>
      </c>
      <c r="D13" s="80">
        <v>70</v>
      </c>
      <c r="E13" s="81"/>
      <c r="F13" s="81"/>
      <c r="G13" s="81"/>
      <c r="H13" s="81"/>
      <c r="I13" s="81"/>
    </row>
  </sheetData>
  <mergeCells count="5">
    <mergeCell ref="A7:A13"/>
    <mergeCell ref="C1:D1"/>
    <mergeCell ref="E1:I1"/>
    <mergeCell ref="A1:A2"/>
    <mergeCell ref="B1:B2"/>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showGridLines="0" workbookViewId="0">
      <selection activeCell="A4" sqref="A4"/>
    </sheetView>
  </sheetViews>
  <sheetFormatPr baseColWidth="10" defaultColWidth="10.83203125" defaultRowHeight="14" customHeight="1"/>
  <cols>
    <col min="1" max="1" width="6.83203125" style="1" customWidth="1"/>
    <col min="2" max="2" width="28.1640625" style="1" customWidth="1"/>
    <col min="3" max="3" width="45.5" style="1" customWidth="1"/>
    <col min="4" max="4" width="29.83203125" style="1" customWidth="1"/>
    <col min="5" max="5" width="33.33203125" style="1" customWidth="1"/>
    <col min="6" max="6" width="32.33203125" style="1" customWidth="1"/>
    <col min="7" max="7" width="17.6640625" style="1" customWidth="1"/>
    <col min="8" max="8" width="10.83203125" style="1" customWidth="1"/>
    <col min="9" max="16384" width="10.83203125" style="1"/>
  </cols>
  <sheetData>
    <row r="1" spans="1:7" ht="17" customHeight="1">
      <c r="A1" s="2" t="s">
        <v>0</v>
      </c>
      <c r="B1" s="3"/>
      <c r="C1" s="3"/>
      <c r="D1" s="3"/>
      <c r="E1" s="3"/>
      <c r="F1" s="3"/>
      <c r="G1" s="4"/>
    </row>
    <row r="2" spans="1:7" ht="264" customHeight="1">
      <c r="A2" s="92" t="s">
        <v>1</v>
      </c>
      <c r="B2" s="93"/>
      <c r="C2" s="93"/>
      <c r="D2" s="93"/>
      <c r="E2" s="93"/>
      <c r="F2" s="93"/>
      <c r="G2" s="94"/>
    </row>
    <row r="3" spans="1:7" ht="17" customHeight="1">
      <c r="A3" s="5" t="s">
        <v>2</v>
      </c>
      <c r="B3" s="6"/>
      <c r="C3" s="6"/>
      <c r="D3" s="6"/>
      <c r="E3" s="6"/>
      <c r="F3" s="6"/>
      <c r="G3" s="7"/>
    </row>
    <row r="4" spans="1:7" ht="17" customHeight="1">
      <c r="A4" s="8"/>
      <c r="B4" s="9"/>
      <c r="C4" s="9"/>
      <c r="D4" s="6"/>
      <c r="E4" s="6"/>
      <c r="F4" s="6"/>
      <c r="G4" s="7"/>
    </row>
    <row r="5" spans="1:7" ht="21" customHeight="1">
      <c r="A5" s="10"/>
      <c r="B5" s="11" t="s">
        <v>3</v>
      </c>
      <c r="C5" s="11" t="s">
        <v>4</v>
      </c>
      <c r="D5" s="12"/>
      <c r="E5" s="13"/>
      <c r="F5" s="13"/>
      <c r="G5" s="7"/>
    </row>
    <row r="6" spans="1:7" ht="21" customHeight="1">
      <c r="A6" s="14"/>
      <c r="B6" s="15" t="s">
        <v>5</v>
      </c>
      <c r="C6" s="16">
        <v>2000</v>
      </c>
      <c r="D6" s="17"/>
      <c r="E6" s="18"/>
      <c r="F6" s="19"/>
      <c r="G6" s="7"/>
    </row>
    <row r="7" spans="1:7" ht="17" customHeight="1">
      <c r="A7" s="8"/>
      <c r="B7" s="20"/>
      <c r="C7" s="20"/>
      <c r="D7" s="6"/>
      <c r="E7" s="6"/>
      <c r="F7" s="6"/>
      <c r="G7" s="7"/>
    </row>
    <row r="8" spans="1:7" ht="21" customHeight="1">
      <c r="A8" s="10"/>
      <c r="B8" s="11" t="s">
        <v>6</v>
      </c>
      <c r="C8" s="11" t="s">
        <v>4</v>
      </c>
      <c r="D8" s="12"/>
      <c r="E8" s="13"/>
      <c r="F8" s="13"/>
      <c r="G8" s="7"/>
    </row>
    <row r="9" spans="1:7" ht="21" customHeight="1">
      <c r="A9" s="14"/>
      <c r="B9" s="15" t="s">
        <v>7</v>
      </c>
      <c r="C9" s="16">
        <v>300</v>
      </c>
      <c r="D9" s="17"/>
      <c r="E9" s="18"/>
      <c r="F9" s="19"/>
      <c r="G9" s="7"/>
    </row>
    <row r="10" spans="1:7" ht="17" customHeight="1">
      <c r="A10" s="8"/>
      <c r="B10" s="20"/>
      <c r="C10" s="20"/>
      <c r="D10" s="6"/>
      <c r="E10" s="6"/>
      <c r="F10" s="6"/>
      <c r="G10" s="7"/>
    </row>
    <row r="11" spans="1:7" ht="21" customHeight="1">
      <c r="A11" s="10"/>
      <c r="B11" s="11" t="s">
        <v>8</v>
      </c>
      <c r="C11" s="11" t="s">
        <v>4</v>
      </c>
      <c r="D11" s="12"/>
      <c r="E11" s="13"/>
      <c r="F11" s="13"/>
      <c r="G11" s="7"/>
    </row>
    <row r="12" spans="1:7" ht="21" customHeight="1">
      <c r="A12" s="14"/>
      <c r="B12" s="15" t="s">
        <v>9</v>
      </c>
      <c r="C12" s="16">
        <v>800</v>
      </c>
      <c r="D12" s="17"/>
      <c r="E12" s="18"/>
      <c r="F12" s="19"/>
      <c r="G12" s="7"/>
    </row>
    <row r="13" spans="1:7" ht="21" customHeight="1">
      <c r="A13" s="21"/>
      <c r="B13" s="20"/>
      <c r="C13" s="20"/>
      <c r="D13" s="19"/>
      <c r="E13" s="18"/>
      <c r="F13" s="19"/>
      <c r="G13" s="7"/>
    </row>
    <row r="14" spans="1:7" ht="21" customHeight="1">
      <c r="A14" s="10"/>
      <c r="B14" s="11" t="s">
        <v>10</v>
      </c>
      <c r="C14" s="11" t="s">
        <v>4</v>
      </c>
      <c r="D14" s="22"/>
      <c r="E14" s="18"/>
      <c r="F14" s="19"/>
      <c r="G14" s="7"/>
    </row>
    <row r="15" spans="1:7" ht="21" customHeight="1">
      <c r="A15" s="14"/>
      <c r="B15" s="23"/>
      <c r="C15" s="23"/>
      <c r="D15" s="17"/>
      <c r="E15" s="18"/>
      <c r="F15" s="19"/>
      <c r="G15" s="7"/>
    </row>
    <row r="16" spans="1:7" ht="17" customHeight="1">
      <c r="A16" s="8"/>
      <c r="B16" s="20"/>
      <c r="C16" s="20"/>
      <c r="D16" s="9"/>
      <c r="E16" s="9"/>
      <c r="F16" s="9"/>
      <c r="G16" s="7"/>
    </row>
    <row r="17" spans="1:7" ht="21" customHeight="1">
      <c r="A17" s="10"/>
      <c r="B17" s="24" t="s">
        <v>11</v>
      </c>
      <c r="C17" s="24" t="s">
        <v>12</v>
      </c>
      <c r="D17" s="11" t="s">
        <v>13</v>
      </c>
      <c r="E17" s="11" t="s">
        <v>14</v>
      </c>
      <c r="F17" s="24" t="s">
        <v>15</v>
      </c>
      <c r="G17" s="25"/>
    </row>
    <row r="18" spans="1:7" ht="21" customHeight="1">
      <c r="A18" s="10"/>
      <c r="B18" s="26">
        <f>IF(B6&lt;&gt;"",1,0)+IF(B9&lt;&gt;"",1,0)+IF(B12&lt;&gt;"",1,0)+IF(B15&lt;&gt;"",1,0)</f>
        <v>3</v>
      </c>
      <c r="C18" s="27">
        <f>C6+C9+C12+C15</f>
        <v>3100</v>
      </c>
      <c r="D18" s="28">
        <v>2</v>
      </c>
      <c r="E18" s="29">
        <v>0.3</v>
      </c>
      <c r="F18" s="30">
        <f>C18*D18</f>
        <v>6200</v>
      </c>
      <c r="G18" s="25"/>
    </row>
    <row r="19" spans="1:7" ht="12" customHeight="1">
      <c r="A19" s="21"/>
      <c r="B19" s="31"/>
      <c r="C19" s="31"/>
      <c r="D19" s="32"/>
      <c r="E19" s="32"/>
      <c r="F19" s="33"/>
      <c r="G19" s="34"/>
    </row>
    <row r="20" spans="1:7" ht="12" customHeight="1">
      <c r="A20" s="21"/>
      <c r="B20" s="6"/>
      <c r="C20" s="9"/>
      <c r="D20" s="9"/>
      <c r="E20" s="9"/>
      <c r="F20" s="35"/>
      <c r="G20" s="7"/>
    </row>
    <row r="21" spans="1:7" ht="21" customHeight="1">
      <c r="A21" s="21"/>
      <c r="B21" s="36"/>
      <c r="C21" s="11" t="s">
        <v>16</v>
      </c>
      <c r="D21" s="24" t="s">
        <v>17</v>
      </c>
      <c r="E21" s="24" t="s">
        <v>18</v>
      </c>
      <c r="F21" s="37"/>
      <c r="G21" s="38"/>
    </row>
    <row r="22" spans="1:7" ht="21" customHeight="1">
      <c r="A22" s="21"/>
      <c r="B22" s="39"/>
      <c r="C22" s="16">
        <v>1</v>
      </c>
      <c r="D22" s="40">
        <f>C18*C22</f>
        <v>3100</v>
      </c>
      <c r="E22" s="41">
        <f>D22*52/12</f>
        <v>13433.333333333299</v>
      </c>
      <c r="F22" s="37"/>
      <c r="G22" s="7"/>
    </row>
    <row r="23" spans="1:7" ht="12" customHeight="1">
      <c r="A23" s="21"/>
      <c r="B23" s="6"/>
      <c r="C23" s="32"/>
      <c r="D23" s="31"/>
      <c r="E23" s="31"/>
      <c r="F23" s="35"/>
      <c r="G23" s="7"/>
    </row>
    <row r="24" spans="1:7" ht="12" customHeight="1">
      <c r="A24" s="21"/>
      <c r="B24" s="6"/>
      <c r="C24" s="9"/>
      <c r="D24" s="9"/>
      <c r="E24" s="9"/>
      <c r="F24" s="42"/>
      <c r="G24" s="38"/>
    </row>
    <row r="25" spans="1:7" ht="48" customHeight="1">
      <c r="A25" s="21"/>
      <c r="B25" s="36"/>
      <c r="C25" s="43" t="s">
        <v>19</v>
      </c>
      <c r="D25" s="43" t="s">
        <v>20</v>
      </c>
      <c r="E25" s="43" t="s">
        <v>21</v>
      </c>
      <c r="F25" s="43" t="s">
        <v>22</v>
      </c>
      <c r="G25" s="44"/>
    </row>
    <row r="26" spans="1:7" ht="20" customHeight="1">
      <c r="A26" s="21"/>
      <c r="B26" s="36"/>
      <c r="C26" s="45">
        <f>E22*2.78/1024</f>
        <v>36.4694010416667</v>
      </c>
      <c r="D26" s="45">
        <f>E22*1.7</f>
        <v>22836.666666666701</v>
      </c>
      <c r="E26" s="45">
        <f>E22*16*1/1024+512</f>
        <v>721.89583333333303</v>
      </c>
      <c r="F26" s="45">
        <f>C26+E26</f>
        <v>758.365234375</v>
      </c>
      <c r="G26" s="44"/>
    </row>
    <row r="27" spans="1:7" ht="64" customHeight="1">
      <c r="A27" s="46"/>
      <c r="B27" s="47"/>
      <c r="C27" s="48" t="s">
        <v>23</v>
      </c>
      <c r="D27" s="48" t="s">
        <v>24</v>
      </c>
      <c r="E27" s="48" t="s">
        <v>25</v>
      </c>
      <c r="F27" s="49"/>
      <c r="G27" s="50"/>
    </row>
    <row r="28" spans="1:7" ht="12" customHeight="1">
      <c r="A28" s="21"/>
      <c r="B28" s="6"/>
      <c r="C28" s="31"/>
      <c r="D28" s="31"/>
      <c r="E28" s="31"/>
      <c r="F28" s="31"/>
      <c r="G28" s="7"/>
    </row>
    <row r="29" spans="1:7" ht="12.75" customHeight="1">
      <c r="A29" s="21"/>
      <c r="B29" s="6"/>
      <c r="C29" s="9"/>
      <c r="D29" s="9"/>
      <c r="E29" s="9"/>
      <c r="F29" s="9"/>
      <c r="G29" s="7"/>
    </row>
    <row r="30" spans="1:7" ht="63" customHeight="1">
      <c r="A30" s="21"/>
      <c r="B30" s="36"/>
      <c r="C30" s="43" t="s">
        <v>26</v>
      </c>
      <c r="D30" s="43" t="s">
        <v>27</v>
      </c>
      <c r="E30" s="43" t="s">
        <v>28</v>
      </c>
      <c r="F30" s="43" t="s">
        <v>29</v>
      </c>
      <c r="G30" s="44"/>
    </row>
    <row r="31" spans="1:7" ht="12.75" customHeight="1">
      <c r="A31" s="21"/>
      <c r="B31" s="39"/>
      <c r="C31" s="51">
        <v>15</v>
      </c>
      <c r="D31" s="51"/>
      <c r="E31" s="30">
        <f>9.1*C31</f>
        <v>136.5</v>
      </c>
      <c r="F31" s="45">
        <f>E31/C31</f>
        <v>9.1</v>
      </c>
      <c r="G31" s="44"/>
    </row>
    <row r="32" spans="1:7" ht="14.25" customHeight="1">
      <c r="A32" s="21"/>
      <c r="B32" s="52"/>
      <c r="C32" s="53"/>
      <c r="D32" s="54"/>
      <c r="E32" s="54"/>
      <c r="F32" s="54"/>
      <c r="G32" s="7"/>
    </row>
    <row r="33" spans="1:7" ht="14.25" customHeight="1">
      <c r="A33" s="21"/>
      <c r="B33" s="52"/>
      <c r="C33" s="53"/>
      <c r="D33" s="53"/>
      <c r="E33" s="53"/>
      <c r="F33" s="55"/>
      <c r="G33" s="38"/>
    </row>
    <row r="34" spans="1:7" ht="73" customHeight="1">
      <c r="A34" s="46"/>
      <c r="B34" s="56"/>
      <c r="C34" s="43" t="s">
        <v>30</v>
      </c>
      <c r="D34" s="43" t="s">
        <v>31</v>
      </c>
      <c r="E34" s="43" t="s">
        <v>32</v>
      </c>
      <c r="F34" s="43" t="s">
        <v>33</v>
      </c>
      <c r="G34" s="50"/>
    </row>
    <row r="35" spans="1:7" ht="14.25" customHeight="1">
      <c r="A35" s="21"/>
      <c r="B35" s="57"/>
      <c r="C35" s="45">
        <f>F18*F31*C31/1024</f>
        <v>826.46484375</v>
      </c>
      <c r="D35" s="45">
        <f>F18*E18*F31*C31/1024</f>
        <v>247.939453125</v>
      </c>
      <c r="E35" s="45">
        <f>E31/C31*D31*F18/1024</f>
        <v>0</v>
      </c>
      <c r="F35" s="45">
        <f>(D35+E35)/12</f>
        <v>20.66162109375</v>
      </c>
      <c r="G35" s="44"/>
    </row>
    <row r="36" spans="1:7" ht="12.75" customHeight="1">
      <c r="A36" s="21"/>
      <c r="B36" s="6"/>
      <c r="C36" s="31"/>
      <c r="D36" s="31"/>
      <c r="E36" s="31"/>
      <c r="F36" s="31"/>
      <c r="G36" s="7"/>
    </row>
    <row r="37" spans="1:7" ht="12" customHeight="1">
      <c r="A37" s="21"/>
      <c r="B37" s="9"/>
      <c r="C37" s="9"/>
      <c r="D37" s="9"/>
      <c r="E37" s="9"/>
      <c r="F37" s="9"/>
      <c r="G37" s="58"/>
    </row>
    <row r="38" spans="1:7" ht="39.25" customHeight="1">
      <c r="A38" s="10"/>
      <c r="B38" s="59" t="s">
        <v>34</v>
      </c>
      <c r="C38" s="59" t="s">
        <v>35</v>
      </c>
      <c r="D38" s="59" t="s">
        <v>36</v>
      </c>
      <c r="E38" s="59" t="s">
        <v>37</v>
      </c>
      <c r="F38" s="59" t="s">
        <v>38</v>
      </c>
      <c r="G38" s="59" t="s">
        <v>39</v>
      </c>
    </row>
    <row r="39" spans="1:7" ht="29" customHeight="1">
      <c r="A39" s="10"/>
      <c r="B39" s="60" t="s">
        <v>40</v>
      </c>
      <c r="C39" s="61" t="s">
        <v>41</v>
      </c>
      <c r="D39" s="45">
        <f>(0.008*(F26/730)*730)+(0.008*(F35/730)*730)+(0.0225*730)+5+19+18</f>
        <v>64.657214843749998</v>
      </c>
      <c r="E39" s="26">
        <v>1</v>
      </c>
      <c r="F39" s="41">
        <f t="shared" ref="F39:F54" si="0">D39*E39</f>
        <v>64.657214843749998</v>
      </c>
      <c r="G39" s="62">
        <f t="shared" ref="G39:G50" si="1">F39*12</f>
        <v>775.88657812500003</v>
      </c>
    </row>
    <row r="40" spans="1:7" ht="21" customHeight="1">
      <c r="A40" s="10"/>
      <c r="B40" s="60" t="s">
        <v>42</v>
      </c>
      <c r="C40" s="63"/>
      <c r="D40" s="45">
        <f>(0.065*F26)+(0.114*F26)+(0.065*F35)+(0.114*F35)+(0.065*730)</f>
        <v>186.895807128906</v>
      </c>
      <c r="E40" s="26">
        <v>1</v>
      </c>
      <c r="F40" s="41">
        <f t="shared" si="0"/>
        <v>186.895807128906</v>
      </c>
      <c r="G40" s="62">
        <f t="shared" si="1"/>
        <v>2242.7496855468798</v>
      </c>
    </row>
    <row r="41" spans="1:7" ht="21" customHeight="1">
      <c r="A41" s="10"/>
      <c r="B41" s="60" t="s">
        <v>43</v>
      </c>
      <c r="C41" s="60" t="s">
        <v>44</v>
      </c>
      <c r="D41" s="45">
        <f>(0.276*C26*24/1.5)+(5.175*150)+(0.05*C26*24/1.5)</f>
        <v>966.47439583333301</v>
      </c>
      <c r="E41" s="26">
        <v>1</v>
      </c>
      <c r="F41" s="41">
        <f t="shared" si="0"/>
        <v>966.47439583333301</v>
      </c>
      <c r="G41" s="62">
        <f t="shared" si="1"/>
        <v>11597.69275</v>
      </c>
    </row>
    <row r="42" spans="1:7" ht="21" customHeight="1">
      <c r="A42" s="10"/>
      <c r="B42" s="60" t="s">
        <v>45</v>
      </c>
      <c r="C42" s="60" t="s">
        <v>46</v>
      </c>
      <c r="D42" s="45">
        <f>(0.005*C26*36)+(0.03*C26)+(0.03*C26)+(0.00225*C26)+(0.00002*D26)+(0.00001*D26/2)+(0.00002*D26)</f>
        <v>9.8623624023437504</v>
      </c>
      <c r="E42" s="26">
        <v>1</v>
      </c>
      <c r="F42" s="41">
        <f t="shared" si="0"/>
        <v>9.8623624023437504</v>
      </c>
      <c r="G42" s="62">
        <f t="shared" si="1"/>
        <v>118.348348828125</v>
      </c>
    </row>
    <row r="43" spans="1:7" ht="27" customHeight="1">
      <c r="A43" s="10"/>
      <c r="B43" s="60" t="s">
        <v>47</v>
      </c>
      <c r="C43" s="61" t="s">
        <v>48</v>
      </c>
      <c r="D43" s="45">
        <v>0</v>
      </c>
      <c r="E43" s="26">
        <v>1</v>
      </c>
      <c r="F43" s="41">
        <f t="shared" si="0"/>
        <v>0</v>
      </c>
      <c r="G43" s="62">
        <f t="shared" si="1"/>
        <v>0</v>
      </c>
    </row>
    <row r="44" spans="1:7" ht="21" customHeight="1">
      <c r="A44" s="10"/>
      <c r="B44" s="95" t="s">
        <v>49</v>
      </c>
      <c r="C44" s="60" t="s">
        <v>50</v>
      </c>
      <c r="D44" s="26">
        <v>140.21</v>
      </c>
      <c r="E44" s="26">
        <f t="shared" ref="E44:E46" si="2">IF($D$22&lt;=10000,2,IF($D$22&gt;10000,4))</f>
        <v>2</v>
      </c>
      <c r="F44" s="41">
        <f t="shared" si="0"/>
        <v>280.42</v>
      </c>
      <c r="G44" s="62">
        <f t="shared" si="1"/>
        <v>3365.04</v>
      </c>
    </row>
    <row r="45" spans="1:7" ht="21" customHeight="1">
      <c r="A45" s="10"/>
      <c r="B45" s="96"/>
      <c r="C45" s="60" t="s">
        <v>51</v>
      </c>
      <c r="D45" s="26">
        <v>170.48</v>
      </c>
      <c r="E45" s="26">
        <f t="shared" si="2"/>
        <v>2</v>
      </c>
      <c r="F45" s="41">
        <f t="shared" si="0"/>
        <v>340.96</v>
      </c>
      <c r="G45" s="62">
        <f t="shared" si="1"/>
        <v>4091.52</v>
      </c>
    </row>
    <row r="46" spans="1:7" ht="21" customHeight="1">
      <c r="A46" s="10"/>
      <c r="B46" s="96"/>
      <c r="C46" s="64" t="s">
        <v>52</v>
      </c>
      <c r="D46" s="26">
        <v>478.46</v>
      </c>
      <c r="E46" s="26">
        <f t="shared" si="2"/>
        <v>2</v>
      </c>
      <c r="F46" s="41">
        <f t="shared" si="0"/>
        <v>956.92</v>
      </c>
      <c r="G46" s="62">
        <f t="shared" si="1"/>
        <v>11483.04</v>
      </c>
    </row>
    <row r="47" spans="1:7" ht="28" customHeight="1">
      <c r="A47" s="10"/>
      <c r="B47" s="96"/>
      <c r="C47" s="61" t="s">
        <v>53</v>
      </c>
      <c r="D47" s="26">
        <v>2864.12</v>
      </c>
      <c r="E47" s="26">
        <f>IF($D$22&lt;=10000,3,IF($D$22&gt;10000,6))</f>
        <v>3</v>
      </c>
      <c r="F47" s="41">
        <f t="shared" si="0"/>
        <v>8592.36</v>
      </c>
      <c r="G47" s="62">
        <f t="shared" si="1"/>
        <v>103108.32</v>
      </c>
    </row>
    <row r="48" spans="1:7" ht="21" customHeight="1">
      <c r="A48" s="10"/>
      <c r="B48" s="96"/>
      <c r="C48" s="60" t="s">
        <v>54</v>
      </c>
      <c r="D48" s="26">
        <v>351.09</v>
      </c>
      <c r="E48" s="26">
        <v>1</v>
      </c>
      <c r="F48" s="41">
        <f t="shared" si="0"/>
        <v>351.09</v>
      </c>
      <c r="G48" s="62">
        <f t="shared" si="1"/>
        <v>4213.08</v>
      </c>
    </row>
    <row r="49" spans="1:7" ht="21" customHeight="1">
      <c r="A49" s="10"/>
      <c r="B49" s="96"/>
      <c r="C49" s="60" t="s">
        <v>55</v>
      </c>
      <c r="D49" s="26">
        <v>146.72999999999999</v>
      </c>
      <c r="E49" s="26">
        <f>IF($D$22&lt;=10000,2,IF($D$22&gt;10000,6))</f>
        <v>2</v>
      </c>
      <c r="F49" s="41">
        <f t="shared" si="0"/>
        <v>293.45999999999998</v>
      </c>
      <c r="G49" s="62">
        <f t="shared" si="1"/>
        <v>3521.52</v>
      </c>
    </row>
    <row r="50" spans="1:7" ht="21" customHeight="1">
      <c r="A50" s="10"/>
      <c r="B50" s="96"/>
      <c r="C50" s="60" t="s">
        <v>56</v>
      </c>
      <c r="D50" s="26">
        <v>0.3</v>
      </c>
      <c r="E50" s="26">
        <f>SUM(E44:E48)*7</f>
        <v>70</v>
      </c>
      <c r="F50" s="41">
        <f t="shared" si="0"/>
        <v>21</v>
      </c>
      <c r="G50" s="62">
        <f t="shared" si="1"/>
        <v>252</v>
      </c>
    </row>
    <row r="51" spans="1:7" ht="29" customHeight="1">
      <c r="A51" s="10"/>
      <c r="B51" s="97" t="s">
        <v>57</v>
      </c>
      <c r="C51" s="65"/>
      <c r="D51" s="45"/>
      <c r="E51" s="26"/>
      <c r="F51" s="41">
        <f t="shared" si="0"/>
        <v>0</v>
      </c>
      <c r="G51" s="62">
        <f>F51</f>
        <v>0</v>
      </c>
    </row>
    <row r="52" spans="1:7" ht="21" customHeight="1">
      <c r="A52" s="10"/>
      <c r="B52" s="98"/>
      <c r="C52" s="60" t="s">
        <v>58</v>
      </c>
      <c r="D52" s="26">
        <v>495.64</v>
      </c>
      <c r="E52" s="66">
        <f>B18</f>
        <v>3</v>
      </c>
      <c r="F52" s="41">
        <f t="shared" si="0"/>
        <v>1486.92</v>
      </c>
      <c r="G52" s="62">
        <f t="shared" ref="G52:G54" si="3">E52*F52</f>
        <v>4460.76</v>
      </c>
    </row>
    <row r="53" spans="1:7" ht="21" customHeight="1">
      <c r="A53" s="10"/>
      <c r="B53" s="98"/>
      <c r="C53" s="60" t="s">
        <v>59</v>
      </c>
      <c r="D53" s="26">
        <v>826.68</v>
      </c>
      <c r="E53" s="26">
        <v>1</v>
      </c>
      <c r="F53" s="41">
        <f t="shared" si="0"/>
        <v>826.68</v>
      </c>
      <c r="G53" s="62">
        <f t="shared" si="3"/>
        <v>826.68</v>
      </c>
    </row>
    <row r="54" spans="1:7" ht="21" customHeight="1">
      <c r="A54" s="10"/>
      <c r="B54" s="99"/>
      <c r="C54" s="60" t="s">
        <v>60</v>
      </c>
      <c r="D54" s="45">
        <f>(0.008+0.065+0.114)*C35</f>
        <v>154.54892578125001</v>
      </c>
      <c r="E54" s="26">
        <v>1</v>
      </c>
      <c r="F54" s="41">
        <f t="shared" si="0"/>
        <v>154.54892578125001</v>
      </c>
      <c r="G54" s="62">
        <f t="shared" si="3"/>
        <v>154.54892578125001</v>
      </c>
    </row>
    <row r="55" spans="1:7" ht="21" customHeight="1">
      <c r="A55" s="10"/>
      <c r="B55" s="67" t="s">
        <v>61</v>
      </c>
      <c r="C55" s="68"/>
      <c r="D55" s="68"/>
      <c r="E55" s="68"/>
      <c r="F55" s="67"/>
      <c r="G55" s="69">
        <f>SUM(G39:G54)</f>
        <v>150211.18628828099</v>
      </c>
    </row>
    <row r="56" spans="1:7" ht="21" customHeight="1">
      <c r="A56" s="70"/>
      <c r="B56" s="67" t="s">
        <v>62</v>
      </c>
      <c r="C56" s="68"/>
      <c r="D56" s="68"/>
      <c r="E56" s="68"/>
      <c r="F56" s="67"/>
      <c r="G56" s="69">
        <f>G55-G51-G54</f>
        <v>150056.63736250001</v>
      </c>
    </row>
    <row r="57" spans="1:7" ht="14" customHeight="1">
      <c r="A57" s="71"/>
      <c r="B57" s="72" t="s">
        <v>63</v>
      </c>
      <c r="C57" s="73"/>
      <c r="D57" s="73"/>
      <c r="E57" s="73"/>
      <c r="F57" s="73"/>
      <c r="G57" s="74">
        <f>106142-101654</f>
        <v>4488</v>
      </c>
    </row>
    <row r="58" spans="1:7" ht="14" customHeight="1">
      <c r="A58" s="75"/>
      <c r="B58" s="76" t="s">
        <v>64</v>
      </c>
      <c r="C58" s="77"/>
      <c r="D58" s="77"/>
      <c r="E58" s="77"/>
      <c r="F58" s="77"/>
      <c r="G58" s="78">
        <f>78937-75400</f>
        <v>3537</v>
      </c>
    </row>
  </sheetData>
  <mergeCells count="3">
    <mergeCell ref="A2:G2"/>
    <mergeCell ref="B44:B50"/>
    <mergeCell ref="B51:B54"/>
  </mergeCells>
  <pageMargins left="0.5" right="0.5" top="0.75" bottom="0.75" header="0.27777800000000002" footer="0.27777800000000002"/>
  <pageSetup scale="72" orientation="portrait" useFirstPageNumber="1"/>
  <headerFooter>
    <oddFooter>&amp;C&amp;"Helvetica Neue,Regular"&amp;12&amp;K000000&amp;P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硬件资源</vt:lpstr>
      <vt:lpstr>价格估算表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Anlun</dc:creator>
  <cp:lastModifiedBy>Zhao Ma</cp:lastModifiedBy>
  <dcterms:created xsi:type="dcterms:W3CDTF">2025-03-24T08:03:43Z</dcterms:created>
  <dcterms:modified xsi:type="dcterms:W3CDTF">2025-03-26T02:06:22Z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B220036099BB49C98E22F2C32FB76891_11</vt:lpwstr>
  </property>
  <property fmtid="{D5CDD505-2E9C-101B-9397-08002B2CF9AE}" pid="3" name="KSOProductBuildVer">
    <vt:lpwstr>2052-12.1.0.20305</vt:lpwstr>
  </property>
</Properties>
</file>