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taihuan\Desktop\"/>
    </mc:Choice>
  </mc:AlternateContent>
  <xr:revisionPtr revIDLastSave="0" documentId="13_ncr:1_{5DD907E4-0B07-4C9E-8268-907FD18094D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paceSight 门店设备" sheetId="2" r:id="rId1"/>
    <sheet name="SpaceSight 软件" sheetId="3" r:id="rId2"/>
    <sheet name="SpaceSight AI检测模块" sheetId="4" r:id="rId3"/>
    <sheet name="SaaS on cloud" sheetId="7" r:id="rId4"/>
    <sheet name="Echo软硬件" sheetId="5" r:id="rId5"/>
    <sheet name="Echo音频质检功能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5" l="1"/>
  <c r="G8" i="5"/>
  <c r="G10" i="5" s="1"/>
  <c r="G4" i="5"/>
  <c r="G3" i="5"/>
  <c r="G8" i="3"/>
  <c r="G6" i="3"/>
  <c r="G4" i="3"/>
  <c r="G3" i="3"/>
</calcChain>
</file>

<file path=xl/sharedStrings.xml><?xml version="1.0" encoding="utf-8"?>
<sst xmlns="http://schemas.openxmlformats.org/spreadsheetml/2006/main" count="357" uniqueCount="278">
  <si>
    <t>类别</t>
  </si>
  <si>
    <t>产品名称</t>
  </si>
  <si>
    <t>描述</t>
  </si>
  <si>
    <t>指导价(RMB)（大陆）</t>
  </si>
  <si>
    <t>单位</t>
  </si>
  <si>
    <t>备注说明</t>
  </si>
  <si>
    <t>网络摄像机（IPC）</t>
  </si>
  <si>
    <t>半球型监控摄像机</t>
  </si>
  <si>
    <t>图像分辨率:300万(2304×1296) 传感器：1/3"" CMOS
镜头：2.8mm@F2.2,水平视场⻆: 93°; 垂直视场⻆ : 52°; 对⻆线视场⻆: 106° 
3.6mm@F2.2, 水平视场⻆: 74°; 垂直视场⻆ : 40°; 对⻆线视场⻆: 85°
存储：网络远程存储  安装方式：壁装、吊装
压缩标准：H.265+ / H.265 /�H.264 +/ H.264 供电：PoE供电
特色： 红外夜视、IP67防水等级、3D降噪、双码流区域入侵，越界侦测
基础巡检✅可使用</t>
  </si>
  <si>
    <t>台</t>
  </si>
  <si>
    <t>门店监控摄像头</t>
  </si>
  <si>
    <t>网络录像机（NVR)</t>
  </si>
  <si>
    <t>4 路网络录像机</t>
  </si>
  <si>
    <t>视频接入：4路600万像素IPC 输出：HDMI &amp; VGA 
接入/转发带宽：40/40Mbps
压缩标准：H.265S/H.265/H.264/H.264S
存储：3.5英寸硬盘*1,单盘最大10T
特色：4路回放、帷幄程序、点检
基础巡检✅可使用</t>
  </si>
  <si>
    <t>监控录像</t>
  </si>
  <si>
    <t>8 路网络录像机</t>
  </si>
  <si>
    <t>视频接入：8路600万像素IPC 输出：HDMI &amp; VGA 
接入/转发带宽：64/64Mbps
压缩标准：H.265S/H.265/H.264/H.264S
存储：3.5英寸硬盘*1,单盘最大10T
特色：8路回放、帷幄程序、点检
基础巡检✅可使用</t>
  </si>
  <si>
    <t>16 路网络录像机</t>
  </si>
  <si>
    <t>视频接入：16路600万像素IPC 输出：HDMI &amp; VGA
帧率：N: 30fps; P: 25fp 码流：双码流录像
接入/转发带宽：64/64Mbps
压缩标准：H.265S/H.265+/H.265/H.264
存储：3.5英寸硬盘*1,单盘最大10T
特色：16路回放、帷幄程序、点检
基础巡检✅可使用</t>
  </si>
  <si>
    <t>32 路网络录像机</t>
  </si>
  <si>
    <t>视频接入：32路800万像素IPC 输出：HDMI &amp; VGA
帧率：N: 30fps; P: 25fp 码流：双码流录像
接入/转发带宽：192/192Mbps
压缩标准：H.265S/H.265+/H.265/H.264
存储：3.5英寸硬盘*2,单盘最大10T
特色：同步16路回放、报警、智能检索</t>
  </si>
  <si>
    <t>音视频HUB</t>
  </si>
  <si>
    <t>边缘计算单元</t>
  </si>
  <si>
    <t>基础能力与VHB1-0A30（x88）一致</t>
  </si>
  <si>
    <t>门店巡检</t>
  </si>
  <si>
    <t>AI HUB计算单元</t>
  </si>
  <si>
    <t>服务清单  Service List</t>
  </si>
  <si>
    <t>服务名称
Service Name</t>
  </si>
  <si>
    <t>服务编码
Service Code</t>
  </si>
  <si>
    <t>描述
Description</t>
  </si>
  <si>
    <t xml:space="preserve">单价 (RMB)
Unit Price
（含税6%） </t>
  </si>
  <si>
    <t>数量
Quantity</t>
  </si>
  <si>
    <t>单位
Unit</t>
  </si>
  <si>
    <t>金额 (RMB)
Price</t>
  </si>
  <si>
    <t>备注
Remark</t>
  </si>
  <si>
    <t>出入口客流席位（基础）</t>
  </si>
  <si>
    <t>SS-CRK-JC</t>
  </si>
  <si>
    <t>包含：普通出入口客流、客流画像特征、批次进店客流</t>
  </si>
  <si>
    <t>路/年</t>
  </si>
  <si>
    <t>按照门店接入监控路数</t>
  </si>
  <si>
    <t>店内客流席位（基础）</t>
  </si>
  <si>
    <t>SS-DN-JC</t>
  </si>
  <si>
    <t>包含：店内区域热度、店内区域流向、顾客店内动线</t>
  </si>
  <si>
    <t xml:space="preserve">巡检版
</t>
  </si>
  <si>
    <t>SS-XJ-JC</t>
  </si>
  <si>
    <t>支持查看实时音视频、回放和下载录像、抓拍截图等；最快支持16倍速播放，支持1/4/9/16/20多画面同屏播放；
支持视频截图和录像的云储存；提供三种存储方式
支持设备远程点对点语音对讲
支持针对门店设备自定义抓拍方式，同时支持将抓拍图浓缩成图片集卡片实现低成本的自动快速回放
支持线上安排巡检任务，可通过视频实时远程巡查门店，基于录像和截图可发起整改任务指派到人进行处理，完成远程巡检管理闭环。
支持巡检人员在现场进行巡检工作，支持GPS定位打卡；
支持门店人员进行自检，可按检查表要求上传自检结果和现场图片等信息。</t>
  </si>
  <si>
    <t>店/年</t>
  </si>
  <si>
    <t>AI 巡检</t>
  </si>
  <si>
    <t>SS-AI-LSJC</t>
  </si>
  <si>
    <t>Whale Care+ For SpaceSight Hardware</t>
  </si>
  <si>
    <t>SS-Care-YJ</t>
  </si>
  <si>
    <t>一站式技术支持，质保无忧
1. 全天候在线技术专家
2. 三年质保
3. 只换不修</t>
  </si>
  <si>
    <t>个</t>
  </si>
  <si>
    <t>按硬件价格30% 次年开始收取</t>
  </si>
  <si>
    <t>开发者服务</t>
  </si>
  <si>
    <t>SS-KFZ-SFGCS</t>
  </si>
  <si>
    <t>AI检测算法模型数据测试及调优</t>
  </si>
  <si>
    <t>人/天</t>
  </si>
  <si>
    <t>定开服务人天费用</t>
  </si>
  <si>
    <t>模块</t>
  </si>
  <si>
    <t>服务编码</t>
  </si>
  <si>
    <t>功能板块</t>
  </si>
  <si>
    <t>详情描述</t>
  </si>
  <si>
    <t>标准模块收费（元/路/年）</t>
  </si>
  <si>
    <t>AI 检测</t>
  </si>
  <si>
    <t>老鼠检测</t>
  </si>
  <si>
    <t>支持识别指定区域内是否出现老鼠</t>
  </si>
  <si>
    <t>SS-AI-RYCR</t>
  </si>
  <si>
    <t>人员闯入预警</t>
  </si>
  <si>
    <t xml:space="preserve">支持识别区域内是否有人员闯入，系统会发起告警并推送给指定管理人员; </t>
  </si>
  <si>
    <t>SS-AI-ASYY</t>
  </si>
  <si>
    <t>按时营业检测</t>
  </si>
  <si>
    <t>支持识别门店是否在规定时间开门营业</t>
  </si>
  <si>
    <t>SS-AI-GFXS</t>
  </si>
  <si>
    <t>规范洗手检测</t>
  </si>
  <si>
    <t>支持识别员工在洗手时是否达标，系统会发起报警并推送给指定管理人员</t>
  </si>
  <si>
    <t>SS-AI-YGGF</t>
  </si>
  <si>
    <t>员工工服检测</t>
  </si>
  <si>
    <t>支持识别指定区域员工是否穿工服，并提供记录和消息（需根据用户需求二次优化）</t>
  </si>
  <si>
    <t>根据具体需求提供报价</t>
  </si>
  <si>
    <t>SS-AI-YGGM</t>
  </si>
  <si>
    <t>员工工帽检测</t>
  </si>
  <si>
    <t>工帽识别模型个性化训练：基于特定工帽，进行数据采集和模型训练，以实现对人员是否穿戴正确工帽的识别
注：此套算法需要基于甲方的工帽做指定数据采集和模型训练，个性化训练后，算法准确率预计可达80%，具体需与产研确认</t>
  </si>
  <si>
    <t>员工工帽识别：支持基于视频影像，识别指定区域员工是否戴工帽，并提供记录和消息</t>
  </si>
  <si>
    <t>SS-AI-YGKZ</t>
  </si>
  <si>
    <t>员工口罩检测</t>
  </si>
  <si>
    <t>支持识别指定区域员工是否戴口罩（需根据用户需求二次优化）</t>
  </si>
  <si>
    <t>SS-AI-TGLG</t>
  </si>
  <si>
    <t>员工离岗检测</t>
  </si>
  <si>
    <t>支持识别员工在工作时间段内是否在特定区域；（要求特定区域内只有员工会出现，可以通过识别区域是否有人来检测）</t>
  </si>
  <si>
    <t>SS-AI-JZJC</t>
  </si>
  <si>
    <t>聚众检测</t>
  </si>
  <si>
    <t>支持识别区域内在指定时间段内是否连续出现多人聚集的情况（人数可自定义设置），系统会发起报警并推送给指定管理人员。</t>
  </si>
  <si>
    <t>SS-AI-XYJC</t>
  </si>
  <si>
    <t>吸烟检测</t>
  </si>
  <si>
    <t xml:space="preserve">支持对区域内人员是否有吸烟识别，系统会发起告警并推送给指定管理人员; </t>
  </si>
  <si>
    <t>SS-AI-YGSJ</t>
  </si>
  <si>
    <t>员工玩手机检测</t>
  </si>
  <si>
    <t>支持识别指定区域内员工是否有在玩手机，需沟通确认「玩手机」的定义</t>
  </si>
  <si>
    <t>SS-AI-SYFS</t>
  </si>
  <si>
    <t>收银防损</t>
  </si>
  <si>
    <t>识别交易发生时间（订单时间）收银区是否有人，若无人则发出告警（当前仅支持识别“有单无人”）</t>
  </si>
  <si>
    <t>SS-AI-TKPD</t>
  </si>
  <si>
    <t>头盔佩戴检测</t>
  </si>
  <si>
    <t>支持识别指定区域员工是否佩戴头盔，通过对人头部的头盔检查，识别人员是否戴头盔</t>
  </si>
  <si>
    <t>SS-AI-ZWZD</t>
  </si>
  <si>
    <t>杂物占道检测</t>
  </si>
  <si>
    <t>通过摄像图对门店内过道堆放货箱进行检测，当货箱在店内通道中放置时间过长时进行告警，并通知对应门店人员进行处理。</t>
  </si>
  <si>
    <t>SS-AI-DMWG</t>
  </si>
  <si>
    <t>大门未关闭检测</t>
  </si>
  <si>
    <t>支持识别大门是否存在持续未关闭的情况，系统会发起告警并推送给指定管理人员</t>
  </si>
  <si>
    <t>SS-AI-BTZJ</t>
  </si>
  <si>
    <t>吧台整洁检测</t>
  </si>
  <si>
    <t>支持识别吧台未收拾时间持续超过n分钟则告警</t>
  </si>
  <si>
    <t>SS-AI-BZBF</t>
  </si>
  <si>
    <t>杯子摆放异常检测</t>
  </si>
  <si>
    <t>对比标准图，识别杯子摆放是否凌乱。支持凌乱超过n分钟后发起告警。</t>
  </si>
  <si>
    <t>SS-AI-DYYW</t>
  </si>
  <si>
    <t>地有异物检测</t>
  </si>
  <si>
    <t>识别地面是否有垃圾等异物，支持识别到地面有异物n分钟内没有被清理，系统会发起告警并推送给指定管理人员</t>
  </si>
  <si>
    <t>SS-AI-CZZJ</t>
  </si>
  <si>
    <t>餐桌整洁检测</t>
  </si>
  <si>
    <t>支持识别餐桌未收拾时间超过n分钟则告警</t>
  </si>
  <si>
    <t>SS-AI-LJTWG</t>
  </si>
  <si>
    <t>垃圾桶未盖检测</t>
  </si>
  <si>
    <t>垃圾桶不可遮挡且桶盖形状明显，支持设定垃圾桶持续打开x分钟以上则告警</t>
  </si>
  <si>
    <t>硬件设备 IoT Hardware</t>
  </si>
  <si>
    <t>产品名称
Product Name</t>
  </si>
  <si>
    <t>产品型号
Product Model</t>
  </si>
  <si>
    <t xml:space="preserve">单价 (RMB)
Unit Price
（含税13%） </t>
  </si>
  <si>
    <t>语音工牌</t>
  </si>
  <si>
    <t>WWC1-5L30</t>
  </si>
  <si>
    <t>拾音距离：5m
录音续航：12H
单次录音文件限制：12H</t>
  </si>
  <si>
    <t>小计：</t>
  </si>
  <si>
    <t>ECHO 服务质检评估 Saas版-基础版</t>
  </si>
  <si>
    <t>Echo-ZJPG-JC</t>
  </si>
  <si>
    <t>标准化产品</t>
  </si>
  <si>
    <t>年</t>
  </si>
  <si>
    <t>包含算力：100,000</t>
  </si>
  <si>
    <t>Whale Addons For Echo</t>
  </si>
  <si>
    <t>Echo-Addons-SLDS</t>
  </si>
  <si>
    <t>额外购买算力点</t>
  </si>
  <si>
    <t>10万点</t>
  </si>
  <si>
    <t>参考表SpaceSightAI检测目录</t>
    <phoneticPr fontId="5" type="noConversion"/>
  </si>
  <si>
    <t>功能类别</t>
  </si>
  <si>
    <t>板块详情</t>
  </si>
  <si>
    <t>质检评估</t>
  </si>
  <si>
    <t>质检评估指标</t>
  </si>
  <si>
    <t>制定服务指南针</t>
  </si>
  <si>
    <t>AI与人工结合产出最符合品牌当下业务的服务指南针方案（包含sop流程，评估维度，分值等）</t>
  </si>
  <si>
    <t>asr转译</t>
  </si>
  <si>
    <t>识别音视频话术：支持音视频资源 ASR 自动语音识别转文本，实时查看服务沟通话术文本。支持多语种转译，满足多国语音和多种方言</t>
  </si>
  <si>
    <t>质检包录入</t>
  </si>
  <si>
    <t>提供行业基础质检场景（支持选择汽车/鞋服/食饮/美妆/其他等行业服务场景），可自定义创建标签场景，以及对应能力模型</t>
  </si>
  <si>
    <t>录音自动分段：支持对长录音进行自动分段，自定义分段规则，对有效录音片段进行质检分析</t>
  </si>
  <si>
    <t>质检配置，包含话术管理，语义标签，智能评估，服务合规检测，风险行为记录，支持关键词匹配、要素提取、关系抽取、文本分类、文本摘要、事件抽取，且支持从数据标注、模型训练到模型部署一站式服务</t>
  </si>
  <si>
    <t>可实现质检场景切换：支持多个不同音视频质检服务场景切换，快速分析查看不同场景质检分析数据。例如客服中心-智能识别呼出场景，呼入场景等</t>
  </si>
  <si>
    <t>服务质量评分：基于业务场景，自动提取该服务音视频资源的达标项、违规项、未达标项内容，并根据指南针来为单次服务打分</t>
  </si>
  <si>
    <t>评估效果分析</t>
  </si>
  <si>
    <t>数据概览分析</t>
  </si>
  <si>
    <t>整体数据概览：分析获取组织内历史服务得分、服务人数、服务时长、服务质量等整体数据</t>
  </si>
  <si>
    <t>基础的数据看板，根据基础组织架构的员工个人维度看板，部门/门店视角维度看板，总部管理维度看板</t>
  </si>
  <si>
    <t>智能评估分析</t>
  </si>
  <si>
    <t>总结每一段沟通内容的核心要素，包含消费者基础信息，需求信息；支持将音视频识别的话术文本，自动标记语义标签，赋能内容结构沉淀与优化</t>
  </si>
  <si>
    <t>员工能力分析</t>
  </si>
  <si>
    <t>会员分析</t>
  </si>
  <si>
    <t>基础的会员分析（行业通用会员画像），支持查看会员基础信息、服务信息、服务记录、用户标签以及会员历史抗拒点和关注问题的内容，沉淀完整会员画像</t>
  </si>
  <si>
    <t>深度会员分析，根据客户需求开发的会员画像，制定销售策略。根据实际情况另行报价</t>
  </si>
  <si>
    <t>可实现同一个消费者多次到店都被记录，实现转化率分析</t>
  </si>
  <si>
    <t>个性化看板</t>
  </si>
  <si>
    <t>可自定义看板，根据实际情况另行报价</t>
  </si>
  <si>
    <t>音频管理</t>
  </si>
  <si>
    <t>列表管理</t>
  </si>
  <si>
    <t>支持服务音视频资源管理，支持音视频资源的增、删、筛选、分析等操作</t>
  </si>
  <si>
    <t>组织结构设置</t>
  </si>
  <si>
    <t>组织架构设定</t>
  </si>
  <si>
    <t>合理规范企业架构设定，支持部门、岗位组织架构设置，支持新增、导入、邀请成员加入，完成账号权限设置分配</t>
  </si>
  <si>
    <t>角色管理</t>
  </si>
  <si>
    <t>为角色匹配相应的管理权限，规范工作流；支持按角色分配功能及数据权限，支持角色权限的增、删、改及角色成员查看；</t>
  </si>
  <si>
    <t>渠道管理</t>
  </si>
  <si>
    <t>多种渠道的音视频资源接入分析；支持智能工牌、电话录音等音视频资源接入</t>
  </si>
  <si>
    <t>可实现质检场景切换：支持多个不同音视频质检服务场景切换，快速分析查看不同场景质检分析数据。例如客服中心-智能识别呼出场景，呼入场景等</t>
    <phoneticPr fontId="5" type="noConversion"/>
  </si>
  <si>
    <t>为销售提供全方面的数据诊断，搭建能力模型，认清短板，专项提升。可批量管理员工服务数据概览和数据详情</t>
    <phoneticPr fontId="5" type="noConversion"/>
  </si>
  <si>
    <r>
      <rPr>
        <sz val="10"/>
        <color rgb="FF000000"/>
        <rFont val="Calibri"/>
        <family val="2"/>
      </rPr>
      <t>如需梳理品牌级0-1规范，搭建整套服务咨询体系，可通过业务场景调研，指南针制定等，</t>
    </r>
    <r>
      <rPr>
        <sz val="10"/>
        <color rgb="FFF54A45"/>
        <rFont val="Calibri"/>
        <family val="2"/>
      </rPr>
      <t>根据实际情况另行报价</t>
    </r>
  </si>
  <si>
    <t>AI 边缘计算单元
SHB4-7B4/32</t>
    <phoneticPr fontId="3" type="noConversion"/>
  </si>
  <si>
    <t>AI 边缘计算单元
SHB4-16A8/32</t>
    <phoneticPr fontId="3" type="noConversion"/>
  </si>
  <si>
    <t>AI 边缘计算单元
SHB4-32A16/32</t>
    <phoneticPr fontId="3" type="noConversion"/>
  </si>
  <si>
    <t>最多可接入28路AI算法</t>
    <phoneticPr fontId="3" type="noConversion"/>
  </si>
  <si>
    <t>角色</t>
  </si>
  <si>
    <t>操作系统</t>
  </si>
  <si>
    <t>hostname</t>
  </si>
  <si>
    <t>cpu</t>
  </si>
  <si>
    <t>内存</t>
  </si>
  <si>
    <t>磁盘</t>
  </si>
  <si>
    <t>rancher01</t>
  </si>
  <si>
    <t>200G</t>
  </si>
  <si>
    <t>k8s集群---微服务+pinot+airflow(ack资源)   +  flink + GPU + prometheus</t>
  </si>
  <si>
    <t>Ubuntu 20</t>
  </si>
  <si>
    <t>master01</t>
  </si>
  <si>
    <t>master02</t>
  </si>
  <si>
    <t>master03</t>
  </si>
  <si>
    <t>worker01</t>
  </si>
  <si>
    <t>worker02</t>
  </si>
  <si>
    <t>worker03</t>
  </si>
  <si>
    <t>worker04</t>
  </si>
  <si>
    <t>worker05</t>
  </si>
  <si>
    <t>worker06</t>
  </si>
  <si>
    <t>worker07</t>
  </si>
  <si>
    <t>pinot-private01</t>
  </si>
  <si>
    <t>pinot-private02</t>
  </si>
  <si>
    <t>pinot-private03</t>
  </si>
  <si>
    <t>airflow-private01</t>
  </si>
  <si>
    <t>flink</t>
  </si>
  <si>
    <t>Trino</t>
  </si>
  <si>
    <t>milvus</t>
  </si>
  <si>
    <t>500G</t>
  </si>
  <si>
    <t>prometheus</t>
  </si>
  <si>
    <t>GPU01：</t>
  </si>
  <si>
    <t>T4</t>
  </si>
  <si>
    <t>GPU02：</t>
  </si>
  <si>
    <t>2*T4</t>
  </si>
  <si>
    <t>GPU03（8点前算好需要这台）：</t>
  </si>
  <si>
    <t>运维操作</t>
  </si>
  <si>
    <t xml:space="preserve">windows </t>
  </si>
  <si>
    <t>100G</t>
  </si>
  <si>
    <t>postgresql</t>
  </si>
  <si>
    <t>PAAS替代方案</t>
  </si>
  <si>
    <t>4c16g 主备版 2T</t>
  </si>
  <si>
    <t>redis</t>
  </si>
  <si>
    <t>4g主从版</t>
  </si>
  <si>
    <t>kafka</t>
  </si>
  <si>
    <t>PAAS</t>
  </si>
  <si>
    <t>标准版（高写版）300G</t>
  </si>
  <si>
    <t>nacos</t>
  </si>
  <si>
    <t>node01</t>
  </si>
  <si>
    <t>node02</t>
  </si>
  <si>
    <t>node03</t>
  </si>
  <si>
    <t>elasticsearch</t>
  </si>
  <si>
    <t>公有云</t>
  </si>
  <si>
    <t>4c16g，4个节点（1个kibana,3个es）</t>
  </si>
  <si>
    <t>cos</t>
  </si>
  <si>
    <t>10T存储要求(预估)</t>
  </si>
  <si>
    <t>短信服务</t>
  </si>
  <si>
    <t>资源</t>
  </si>
  <si>
    <t>slb</t>
  </si>
  <si>
    <t>资源（10M）</t>
  </si>
  <si>
    <r>
      <rPr>
        <sz val="9.75"/>
        <color rgb="FF000000"/>
        <rFont val="Calibri"/>
        <family val="2"/>
      </rPr>
      <t>镜像仓库（</t>
    </r>
    <r>
      <rPr>
        <sz val="9.75"/>
        <color rgb="FF4E83FD"/>
        <rFont val="Calibri"/>
        <family val="2"/>
      </rPr>
      <t>可用帷幄的镜像仓库</t>
    </r>
    <r>
      <rPr>
        <sz val="9.75"/>
        <color rgb="FF000000"/>
        <rFont val="Calibri"/>
        <family val="2"/>
      </rPr>
      <t>）</t>
    </r>
  </si>
  <si>
    <t>dns</t>
  </si>
  <si>
    <t>cdn</t>
  </si>
  <si>
    <t>ssl</t>
  </si>
  <si>
    <r>
      <rPr>
        <sz val="9.75"/>
        <color rgb="FF000000"/>
        <rFont val="Calibri"/>
        <family val="2"/>
      </rPr>
      <t>视频直播（</t>
    </r>
    <r>
      <rPr>
        <sz val="9.75"/>
        <color rgb="FF4E83FD"/>
        <rFont val="Calibri"/>
        <family val="2"/>
      </rPr>
      <t>不需要web看流量，不需要此组件</t>
    </r>
    <r>
      <rPr>
        <sz val="9.75"/>
        <color rgb="FF000000"/>
        <rFont val="Calibri"/>
        <family val="2"/>
      </rPr>
      <t>）</t>
    </r>
  </si>
  <si>
    <t>mqtt</t>
  </si>
  <si>
    <t>复用frp节点</t>
  </si>
  <si>
    <t>frp-server</t>
  </si>
  <si>
    <t>frps-private01</t>
  </si>
  <si>
    <t>弹性公网ip</t>
  </si>
  <si>
    <t>5M</t>
  </si>
  <si>
    <t>influxdb</t>
  </si>
  <si>
    <t>influxdb-private01</t>
  </si>
  <si>
    <t>cdh</t>
  </si>
  <si>
    <t>centos 7.9</t>
  </si>
  <si>
    <t>hadoop-private01</t>
  </si>
  <si>
    <t>1T</t>
  </si>
  <si>
    <t>hadoop-private02</t>
  </si>
  <si>
    <t>hadoop-private03</t>
  </si>
  <si>
    <t>p2p01</t>
  </si>
  <si>
    <t>需要固定工网IP</t>
  </si>
  <si>
    <t>p2p02</t>
  </si>
  <si>
    <t>p2p03</t>
  </si>
  <si>
    <t>生产环境：适合企业标准使用量（正式）场景
1000门店- 性能佳- 高可用</t>
    <phoneticPr fontId="5" type="noConversion"/>
  </si>
  <si>
    <r>
      <t xml:space="preserve">主控处理器 ：6核 ARM CA53@1.6GHz
内存及存储：4G +32G 
</t>
    </r>
    <r>
      <rPr>
        <b/>
        <sz val="9.75"/>
        <color rgb="FF1F2329"/>
        <rFont val="等线"/>
        <family val="3"/>
        <charset val="134"/>
        <scheme val="minor"/>
      </rPr>
      <t>AI 峰值算力：7.2 TOPS INT8，14.4 TOPS INT4，1.8T FLOPS FP16/BF16，</t>
    </r>
    <r>
      <rPr>
        <sz val="9.75"/>
        <color rgb="FF1F2329"/>
        <rFont val="等线"/>
        <charset val="134"/>
        <scheme val="minor"/>
      </rPr>
      <t xml:space="preserve"> 
支持混合精度计算
接口：ETH 10/ 100 / 1000Mbps自适应 *2 
USB3.0 *2 /HDMI2.0 / TF
工作温度 ：-10℃~45℃ 
电源接口：DC12V 3A
</t>
    </r>
    <r>
      <rPr>
        <b/>
        <sz val="9.75"/>
        <color rgb="FF1F2329"/>
        <rFont val="等线"/>
        <family val="3"/>
        <charset val="134"/>
        <scheme val="minor"/>
      </rPr>
      <t>结构尺寸： 165.8mm * 83mm * 53.5mm</t>
    </r>
    <phoneticPr fontId="3" type="noConversion"/>
  </si>
  <si>
    <r>
      <t xml:space="preserve">主控处理器： 8核 ARM CA53@1.6GHz
内存 及存储：8GB+32G
</t>
    </r>
    <r>
      <rPr>
        <b/>
        <sz val="9.75"/>
        <color rgb="FF1F2329"/>
        <rFont val="等线"/>
        <family val="3"/>
        <charset val="134"/>
        <scheme val="minor"/>
      </rPr>
      <t>AI 峰值算力：16 TOPS INT8，32 TOPS INT4，4T FLOPS FP16/BF16，0.5</t>
    </r>
    <r>
      <rPr>
        <sz val="9.75"/>
        <color rgb="FF1F2329"/>
        <rFont val="等线"/>
        <charset val="134"/>
        <scheme val="minor"/>
      </rPr>
      <t xml:space="preserve"> FLOPS FP32,支持混合精度计算
接口 ：ETH 10/ 100 / 1000Mbps自适应 *2 
USB3.0 *2/ HDMI2.0 / TF
工作温度 ：-10℃~45℃ 
电源接口：DC12V 3A
</t>
    </r>
    <r>
      <rPr>
        <b/>
        <sz val="9.75"/>
        <color rgb="FF1F2329"/>
        <rFont val="等线"/>
        <family val="3"/>
        <charset val="134"/>
        <scheme val="minor"/>
      </rPr>
      <t>结构尺寸 ：165.8mm * 83mm * 53.5mm</t>
    </r>
    <phoneticPr fontId="3" type="noConversion"/>
  </si>
  <si>
    <r>
      <t xml:space="preserve">主控 ：8核 ARM A53@2.3GHz
内存 及存储：16GB+64G
</t>
    </r>
    <r>
      <rPr>
        <b/>
        <sz val="9.75"/>
        <color rgb="FF1F2329"/>
        <rFont val="等线"/>
        <family val="3"/>
        <charset val="134"/>
        <scheme val="minor"/>
      </rPr>
      <t>• AI 峰值算力：32TOPS (INT8)、16TFLOPS (FP16/BF16)、2TFLOPS (FP32)</t>
    </r>
    <r>
      <rPr>
        <sz val="9.75"/>
        <color rgb="FF1F2329"/>
        <rFont val="等线"/>
        <charset val="134"/>
        <scheme val="minor"/>
      </rPr>
      <t xml:space="preserve">
• 支持32路1080P@25fps高清视频硬件解码能力 
• 支持12路1080P@25fps高清视频硬件编码能力
深度学习框架:支持PyTorch / ONNX / Paddle / TensorFlow / Caffe / MXNet / Darkne
接口 :网络接口:10/100/1000Mbps自适应 x2 
外部接口 :USB3.0 x2 (限流1A)/ USB2.0(限流500mA) x2 /HDMI (1080p@30fps) x1 / TF x1 / RS-232 x1 / RS- 485 x1 
选配及扩展：4G(Mini PCIe)/5G(M.2)SSD(M.2,SATA 3.0,2242)
电源接口:DC 12V/5A(DC 5.5x2.5mm)
散热：风扇主动散热
</t>
    </r>
    <r>
      <rPr>
        <b/>
        <sz val="9.75"/>
        <color rgb="FF1F2329"/>
        <rFont val="等线"/>
        <family val="3"/>
        <charset val="134"/>
        <scheme val="minor"/>
      </rPr>
      <t>尺寸及质量 :长 * 宽 * 高：210 * 130 * 44.5 (mm) ，质量：1.28kg</t>
    </r>
    <phoneticPr fontId="3" type="noConversion"/>
  </si>
  <si>
    <r>
      <t xml:space="preserve">1拖6：试乘试驾+客流 6 路
</t>
    </r>
    <r>
      <rPr>
        <b/>
        <sz val="9.75"/>
        <color rgb="FF1F2329"/>
        <rFont val="等线"/>
        <family val="3"/>
        <charset val="134"/>
        <scheme val="minor"/>
      </rPr>
      <t>最多可接入6路AI算法</t>
    </r>
    <phoneticPr fontId="3" type="noConversion"/>
  </si>
  <si>
    <r>
      <t xml:space="preserve">16路
(2路出入口+14路店内客流)    或者
10路
(10路店内客流：其中9路可配试乘试坐)
</t>
    </r>
    <r>
      <rPr>
        <b/>
        <sz val="9.75"/>
        <color rgb="FF1F2329"/>
        <rFont val="等线"/>
        <family val="3"/>
        <charset val="134"/>
        <scheme val="minor"/>
      </rPr>
      <t>最多可接入16路AI算法</t>
    </r>
    <phoneticPr fontId="3" type="noConversion"/>
  </si>
  <si>
    <r>
      <t xml:space="preserve">Mac Mini：8B
单台45桢
</t>
    </r>
    <r>
      <rPr>
        <b/>
        <sz val="10"/>
        <color theme="1"/>
        <rFont val="等线"/>
        <family val="3"/>
        <charset val="134"/>
        <scheme val="minor"/>
      </rPr>
      <t>提供平台移植的技术支持，转换工具</t>
    </r>
    <phoneticPr fontId="3" type="noConversion"/>
  </si>
  <si>
    <t>芯片要求：
模型要求：
YOLO，8桢/秒
解码：25桢/秒，需要评估解码性能，16路，25桢/秒
整体推理要求60桢/秒
C++</t>
    <phoneticPr fontId="3" type="noConversion"/>
  </si>
  <si>
    <r>
      <rPr>
        <b/>
        <sz val="10"/>
        <color theme="1"/>
        <rFont val="等线"/>
        <family val="3"/>
        <charset val="134"/>
        <scheme val="minor"/>
      </rPr>
      <t>Next step：</t>
    </r>
    <r>
      <rPr>
        <sz val="10"/>
        <color theme="1"/>
        <rFont val="等线"/>
        <family val="3"/>
        <charset val="134"/>
        <scheme val="minor"/>
      </rPr>
      <t xml:space="preserve">
1.提供1台Mac Mini设备，apple Wang Di，</t>
    </r>
    <r>
      <rPr>
        <b/>
        <sz val="10"/>
        <color theme="1"/>
        <rFont val="等线"/>
        <family val="3"/>
        <charset val="134"/>
        <scheme val="minor"/>
      </rPr>
      <t>需要通过授权经销售</t>
    </r>
    <r>
      <rPr>
        <sz val="10"/>
        <color theme="1"/>
        <rFont val="等线"/>
        <family val="3"/>
        <charset val="134"/>
        <scheme val="minor"/>
      </rPr>
      <t xml:space="preserve">
2.</t>
    </r>
    <r>
      <rPr>
        <b/>
        <sz val="10"/>
        <color theme="1"/>
        <rFont val="等线"/>
        <family val="3"/>
        <charset val="134"/>
        <scheme val="minor"/>
      </rPr>
      <t>Apple 技术说明</t>
    </r>
    <r>
      <rPr>
        <sz val="10"/>
        <color theme="1"/>
        <rFont val="等线"/>
        <family val="3"/>
        <charset val="134"/>
        <scheme val="minor"/>
      </rPr>
      <t xml:space="preserve">：Guo Rui，Peng Ze，是否有文档?单独交流？Demo？
3.Apple Technical Partner support：cost？
4.测试周期：30天
</t>
    </r>
    <r>
      <rPr>
        <b/>
        <sz val="10"/>
        <color theme="1"/>
        <rFont val="等线"/>
        <family val="3"/>
        <charset val="134"/>
        <scheme val="minor"/>
      </rPr>
      <t>5.测试报告：提供</t>
    </r>
    <r>
      <rPr>
        <sz val="10"/>
        <color theme="1"/>
        <rFont val="等线"/>
        <family val="3"/>
        <charset val="134"/>
        <scheme val="minor"/>
      </rPr>
      <t xml:space="preserve">
AWS 服务评估下一个阶段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</si>
</sst>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);\(#,##0\)"/>
    <numFmt numFmtId="177" formatCode="[$]\¥#,##0_);\([$]\¥#,##0\)"/>
    <numFmt numFmtId="178" formatCode="&quot;￥&quot;#,##0_);[Red]\(&quot;￥&quot;#,##0\)"/>
  </numFmts>
  <fonts count="28" x14ac:knownFonts="1">
    <font>
      <sz val="10"/>
      <color theme="1"/>
      <name val="等线"/>
      <charset val="134"/>
      <scheme val="minor"/>
    </font>
    <font>
      <sz val="9.75"/>
      <color rgb="FF1F2329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"/>
      <name val="等线"/>
      <charset val="134"/>
      <scheme val="minor"/>
    </font>
    <font>
      <b/>
      <sz val="9"/>
      <color rgb="FFFFFFFF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9"/>
      <color rgb="FF000000"/>
      <name val="等线"/>
      <family val="3"/>
      <charset val="134"/>
      <scheme val="minor"/>
    </font>
    <font>
      <b/>
      <sz val="9"/>
      <color rgb="FF1F2329"/>
      <name val="等线"/>
      <family val="3"/>
      <charset val="134"/>
      <scheme val="minor"/>
    </font>
    <font>
      <sz val="9"/>
      <color rgb="FF000000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1F2329"/>
      <name val="等线"/>
      <family val="3"/>
      <charset val="134"/>
      <scheme val="minor"/>
    </font>
    <font>
      <b/>
      <sz val="11"/>
      <color rgb="FFFFFFFF"/>
      <name val="等线"/>
      <family val="3"/>
      <charset val="134"/>
      <scheme val="minor"/>
    </font>
    <font>
      <b/>
      <sz val="11"/>
      <color rgb="FF000000"/>
      <name val="等线"/>
      <family val="3"/>
      <charset val="134"/>
      <scheme val="minor"/>
    </font>
    <font>
      <b/>
      <sz val="11"/>
      <color rgb="FF1F232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9"/>
      <color rgb="FFF54A45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10"/>
      <color rgb="FF000000"/>
      <name val="Calibri"/>
      <family val="2"/>
    </font>
    <font>
      <sz val="10"/>
      <color rgb="FFF54A45"/>
      <name val="Calibri"/>
      <family val="2"/>
    </font>
    <font>
      <sz val="10"/>
      <color rgb="FF1F2329"/>
      <name val="等线"/>
      <family val="3"/>
      <charset val="134"/>
      <scheme val="minor"/>
    </font>
    <font>
      <b/>
      <sz val="10"/>
      <color rgb="FF000000"/>
      <name val="等线"/>
      <family val="3"/>
      <charset val="134"/>
      <scheme val="minor"/>
    </font>
    <font>
      <sz val="9.75"/>
      <color rgb="FF1F2329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9.75"/>
      <color rgb="FF000000"/>
      <name val="等线"/>
      <family val="2"/>
      <scheme val="minor"/>
    </font>
    <font>
      <sz val="9.75"/>
      <color rgb="FF000000"/>
      <name val="Calibri"/>
      <family val="2"/>
    </font>
    <font>
      <sz val="9.75"/>
      <color rgb="FF4E83FD"/>
      <name val="Calibri"/>
      <family val="2"/>
    </font>
    <font>
      <b/>
      <sz val="9.75"/>
      <color rgb="FF1F2329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989FC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9F5D6"/>
      </patternFill>
    </fill>
    <fill>
      <patternFill patternType="solid">
        <fgColor rgb="FF8F959E"/>
      </patternFill>
    </fill>
    <fill>
      <patternFill patternType="solid">
        <fgColor rgb="FFFFF258"/>
      </patternFill>
    </fill>
  </fills>
  <borders count="6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 applyNumberFormat="0" applyFont="0" applyFill="0" applyBorder="0" applyProtection="0"/>
    <xf numFmtId="0" fontId="14" fillId="0" borderId="0" applyNumberFormat="0" applyFont="0" applyFill="0" applyBorder="0" applyProtection="0"/>
    <xf numFmtId="0" fontId="22" fillId="0" borderId="0" applyNumberFormat="0" applyFont="0" applyFill="0" applyBorder="0" applyProtection="0"/>
  </cellStyleXfs>
  <cellXfs count="77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176" fontId="2" fillId="0" borderId="1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76" fontId="1" fillId="2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left" vertical="center" wrapText="1"/>
    </xf>
    <xf numFmtId="0" fontId="9" fillId="5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vertical="center"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 wrapText="1"/>
    </xf>
    <xf numFmtId="0" fontId="12" fillId="5" borderId="2" xfId="0" applyFont="1" applyFill="1" applyBorder="1" applyAlignment="1">
      <alignment vertical="center" wrapText="1"/>
    </xf>
    <xf numFmtId="0" fontId="13" fillId="5" borderId="2" xfId="0" applyFont="1" applyFill="1" applyBorder="1" applyAlignment="1">
      <alignment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vertical="center" wrapText="1"/>
    </xf>
    <xf numFmtId="177" fontId="9" fillId="0" borderId="2" xfId="0" applyNumberFormat="1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14" fillId="0" borderId="0" xfId="1" applyAlignment="1">
      <alignment vertical="center"/>
    </xf>
    <xf numFmtId="0" fontId="6" fillId="0" borderId="2" xfId="1" applyFont="1" applyBorder="1" applyAlignment="1">
      <alignment vertical="center" wrapText="1"/>
    </xf>
    <xf numFmtId="0" fontId="7" fillId="0" borderId="2" xfId="1" applyFont="1" applyBorder="1" applyAlignment="1">
      <alignment vertical="center" wrapText="1"/>
    </xf>
    <xf numFmtId="0" fontId="8" fillId="4" borderId="5" xfId="1" applyFont="1" applyFill="1" applyBorder="1" applyAlignment="1">
      <alignment horizontal="left" vertical="center" wrapText="1"/>
    </xf>
    <xf numFmtId="0" fontId="8" fillId="4" borderId="5" xfId="1" applyFont="1" applyFill="1" applyBorder="1" applyAlignment="1">
      <alignment horizontal="left" vertical="center"/>
    </xf>
    <xf numFmtId="177" fontId="8" fillId="4" borderId="2" xfId="1" applyNumberFormat="1" applyFont="1" applyFill="1" applyBorder="1" applyAlignment="1">
      <alignment horizontal="left" vertical="center"/>
    </xf>
    <xf numFmtId="0" fontId="8" fillId="4" borderId="2" xfId="1" applyFont="1" applyFill="1" applyBorder="1" applyAlignment="1">
      <alignment horizontal="left" vertical="center"/>
    </xf>
    <xf numFmtId="0" fontId="8" fillId="4" borderId="2" xfId="1" applyFont="1" applyFill="1" applyBorder="1" applyAlignment="1">
      <alignment vertical="center" wrapText="1"/>
    </xf>
    <xf numFmtId="178" fontId="15" fillId="0" borderId="2" xfId="1" applyNumberFormat="1" applyFont="1" applyBorder="1" applyAlignment="1">
      <alignment horizontal="left" vertical="center"/>
    </xf>
    <xf numFmtId="0" fontId="8" fillId="0" borderId="2" xfId="1" applyFont="1" applyBorder="1" applyAlignment="1">
      <alignment vertical="center"/>
    </xf>
    <xf numFmtId="0" fontId="8" fillId="0" borderId="0" xfId="1" applyFont="1" applyAlignment="1">
      <alignment vertical="center"/>
    </xf>
    <xf numFmtId="0" fontId="8" fillId="4" borderId="3" xfId="1" applyFont="1" applyFill="1" applyBorder="1" applyAlignment="1">
      <alignment horizontal="left" vertical="center" wrapText="1"/>
    </xf>
    <xf numFmtId="0" fontId="8" fillId="4" borderId="2" xfId="1" applyFont="1" applyFill="1" applyBorder="1" applyAlignment="1">
      <alignment horizontal="left" vertical="center" wrapText="1"/>
    </xf>
    <xf numFmtId="3" fontId="8" fillId="4" borderId="2" xfId="1" applyNumberFormat="1" applyFont="1" applyFill="1" applyBorder="1" applyAlignment="1">
      <alignment horizontal="left" vertical="center"/>
    </xf>
    <xf numFmtId="177" fontId="15" fillId="0" borderId="2" xfId="1" applyNumberFormat="1" applyFont="1" applyBorder="1" applyAlignment="1">
      <alignment horizontal="left" vertical="center"/>
    </xf>
    <xf numFmtId="0" fontId="16" fillId="0" borderId="1" xfId="1" applyFont="1" applyBorder="1" applyAlignment="1">
      <alignment vertical="center"/>
    </xf>
    <xf numFmtId="0" fontId="21" fillId="2" borderId="1" xfId="0" applyFont="1" applyFill="1" applyBorder="1" applyAlignment="1">
      <alignment horizontal="center" vertical="center" wrapText="1"/>
    </xf>
    <xf numFmtId="176" fontId="21" fillId="2" borderId="1" xfId="0" applyNumberFormat="1" applyFont="1" applyFill="1" applyBorder="1" applyAlignment="1">
      <alignment horizontal="center" vertical="center" wrapText="1"/>
    </xf>
    <xf numFmtId="0" fontId="22" fillId="0" borderId="0" xfId="2" applyAlignment="1">
      <alignment vertical="center"/>
    </xf>
    <xf numFmtId="0" fontId="23" fillId="7" borderId="0" xfId="2" applyFont="1" applyFill="1" applyBorder="1" applyAlignment="1">
      <alignment horizontal="center" vertical="center"/>
    </xf>
    <xf numFmtId="0" fontId="23" fillId="7" borderId="0" xfId="2" applyFont="1" applyFill="1" applyBorder="1" applyAlignment="1">
      <alignment horizontal="left" vertical="center"/>
    </xf>
    <xf numFmtId="0" fontId="23" fillId="0" borderId="0" xfId="2" applyFont="1" applyBorder="1" applyAlignment="1">
      <alignment horizontal="center" vertical="center" wrapText="1"/>
    </xf>
    <xf numFmtId="0" fontId="23" fillId="0" borderId="0" xfId="2" applyFont="1" applyBorder="1" applyAlignment="1">
      <alignment vertical="center"/>
    </xf>
    <xf numFmtId="0" fontId="23" fillId="0" borderId="0" xfId="2" applyFont="1" applyBorder="1" applyAlignment="1">
      <alignment horizontal="center" vertical="center"/>
    </xf>
    <xf numFmtId="0" fontId="23" fillId="0" borderId="0" xfId="2" applyFont="1" applyBorder="1" applyAlignment="1">
      <alignment horizontal="left" vertical="center"/>
    </xf>
    <xf numFmtId="0" fontId="23" fillId="0" borderId="0" xfId="2" applyFont="1" applyBorder="1" applyAlignment="1">
      <alignment horizontal="right" vertical="center"/>
    </xf>
    <xf numFmtId="0" fontId="23" fillId="0" borderId="0" xfId="2" applyFont="1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center"/>
    </xf>
    <xf numFmtId="0" fontId="23" fillId="0" borderId="0" xfId="2" applyFont="1" applyBorder="1" applyAlignment="1">
      <alignment horizontal="center" vertical="center"/>
    </xf>
    <xf numFmtId="0" fontId="23" fillId="8" borderId="0" xfId="2" applyFont="1" applyFill="1" applyBorder="1" applyAlignment="1">
      <alignment horizontal="center" vertical="center" wrapText="1"/>
    </xf>
    <xf numFmtId="0" fontId="23" fillId="6" borderId="0" xfId="2" applyFont="1" applyFill="1" applyBorder="1" applyAlignment="1">
      <alignment horizontal="center" vertical="center" wrapText="1"/>
    </xf>
    <xf numFmtId="0" fontId="23" fillId="0" borderId="0" xfId="2" applyFont="1" applyBorder="1" applyAlignment="1">
      <alignment horizontal="center" vertical="center" wrapText="1"/>
    </xf>
    <xf numFmtId="0" fontId="23" fillId="0" borderId="0" xfId="2" applyFont="1" applyBorder="1" applyAlignment="1">
      <alignment vertical="center"/>
    </xf>
    <xf numFmtId="9" fontId="4" fillId="3" borderId="2" xfId="1" applyNumberFormat="1" applyFont="1" applyFill="1" applyBorder="1" applyAlignment="1">
      <alignment horizontal="left" vertical="center"/>
    </xf>
    <xf numFmtId="0" fontId="8" fillId="0" borderId="2" xfId="1" applyFont="1" applyBorder="1" applyAlignment="1">
      <alignment horizontal="right" vertical="center"/>
    </xf>
    <xf numFmtId="0" fontId="4" fillId="3" borderId="2" xfId="1" applyFont="1" applyFill="1" applyBorder="1" applyAlignment="1">
      <alignment horizontal="left" vertical="center"/>
    </xf>
    <xf numFmtId="0" fontId="20" fillId="5" borderId="1" xfId="1" applyFont="1" applyFill="1" applyBorder="1" applyAlignment="1">
      <alignment horizontal="center" vertical="center"/>
    </xf>
    <xf numFmtId="0" fontId="16" fillId="0" borderId="1" xfId="1" applyFont="1" applyBorder="1" applyAlignment="1">
      <alignment vertical="center"/>
    </xf>
    <xf numFmtId="0" fontId="16" fillId="0" borderId="1" xfId="1" applyFont="1" applyBorder="1" applyAlignment="1">
      <alignment vertical="center" wrapText="1"/>
    </xf>
    <xf numFmtId="0" fontId="19" fillId="0" borderId="1" xfId="1" applyFont="1" applyBorder="1" applyAlignment="1">
      <alignment vertical="center" wrapText="1"/>
    </xf>
    <xf numFmtId="0" fontId="21" fillId="2" borderId="1" xfId="0" applyFont="1" applyFill="1" applyBorder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26" fillId="2" borderId="1" xfId="0" applyFont="1" applyFill="1" applyBorder="1" applyAlignment="1">
      <alignment horizontal="center" vertical="center"/>
    </xf>
    <xf numFmtId="176" fontId="26" fillId="2" borderId="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top" wrapText="1"/>
    </xf>
    <xf numFmtId="0" fontId="23" fillId="2" borderId="0" xfId="2" applyFont="1" applyFill="1" applyBorder="1" applyAlignment="1">
      <alignment horizontal="center" vertical="center"/>
    </xf>
    <xf numFmtId="0" fontId="23" fillId="2" borderId="0" xfId="2" applyFont="1" applyFill="1" applyBorder="1" applyAlignment="1">
      <alignment horizontal="center" vertical="center" wrapText="1"/>
    </xf>
  </cellXfs>
  <cellStyles count="3">
    <cellStyle name="常规" xfId="0" builtinId="0"/>
    <cellStyle name="常规 2" xfId="1" xr:uid="{ABE5068C-3E99-4470-B79A-9CD3FF6A9F84}"/>
    <cellStyle name="常规 3" xfId="2" xr:uid="{BBE1225D-2D79-4BBB-90E1-5ACED9446E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"/>
  <sheetViews>
    <sheetView tabSelected="1" zoomScale="90" zoomScaleNormal="90" workbookViewId="0">
      <pane xSplit="2" ySplit="1" topLeftCell="D6" activePane="bottomRight" state="frozen"/>
      <selection pane="topRight" activeCell="C1" sqref="C1"/>
      <selection pane="bottomLeft" activeCell="A2" sqref="A2"/>
      <selection pane="bottomRight" activeCell="G8" sqref="G8:I8"/>
    </sheetView>
  </sheetViews>
  <sheetFormatPr defaultColWidth="14" defaultRowHeight="13.2" x14ac:dyDescent="0.25"/>
  <cols>
    <col min="1" max="1" width="16.44140625" customWidth="1"/>
    <col min="2" max="2" width="21.77734375" customWidth="1"/>
    <col min="3" max="3" width="67" customWidth="1"/>
    <col min="4" max="4" width="23.33203125" customWidth="1"/>
    <col min="5" max="5" width="14" customWidth="1"/>
    <col min="6" max="6" width="31.109375" customWidth="1"/>
    <col min="7" max="7" width="26.21875" customWidth="1"/>
    <col min="8" max="8" width="23.109375" customWidth="1"/>
    <col min="9" max="9" width="62.77734375" customWidth="1"/>
  </cols>
  <sheetData>
    <row r="1" spans="1:9" x14ac:dyDescent="0.25">
      <c r="A1" s="7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</row>
    <row r="2" spans="1:9" ht="88.2" x14ac:dyDescent="0.25">
      <c r="A2" s="1" t="s">
        <v>6</v>
      </c>
      <c r="B2" s="1" t="s">
        <v>7</v>
      </c>
      <c r="C2" s="2" t="s">
        <v>8</v>
      </c>
      <c r="D2" s="3">
        <v>260</v>
      </c>
      <c r="E2" s="4" t="s">
        <v>9</v>
      </c>
      <c r="F2" s="4" t="s">
        <v>10</v>
      </c>
    </row>
    <row r="3" spans="1:9" ht="88.2" x14ac:dyDescent="0.25">
      <c r="A3" s="53" t="s">
        <v>11</v>
      </c>
      <c r="B3" s="1" t="s">
        <v>12</v>
      </c>
      <c r="C3" s="5" t="s">
        <v>13</v>
      </c>
      <c r="D3" s="3">
        <v>290</v>
      </c>
      <c r="E3" s="4" t="s">
        <v>9</v>
      </c>
      <c r="F3" s="4" t="s">
        <v>14</v>
      </c>
    </row>
    <row r="4" spans="1:9" ht="88.2" x14ac:dyDescent="0.25">
      <c r="A4" s="53"/>
      <c r="B4" s="1" t="s">
        <v>15</v>
      </c>
      <c r="C4" s="5" t="s">
        <v>16</v>
      </c>
      <c r="D4" s="3">
        <v>360</v>
      </c>
      <c r="E4" s="4" t="s">
        <v>9</v>
      </c>
      <c r="F4" s="4" t="s">
        <v>14</v>
      </c>
    </row>
    <row r="5" spans="1:9" ht="100.8" x14ac:dyDescent="0.25">
      <c r="A5" s="53"/>
      <c r="B5" s="1" t="s">
        <v>17</v>
      </c>
      <c r="C5" s="5" t="s">
        <v>18</v>
      </c>
      <c r="D5" s="4">
        <v>672</v>
      </c>
      <c r="E5" s="4" t="s">
        <v>9</v>
      </c>
      <c r="F5" s="4" t="s">
        <v>14</v>
      </c>
    </row>
    <row r="6" spans="1:9" ht="75.599999999999994" x14ac:dyDescent="0.25">
      <c r="A6" s="53"/>
      <c r="B6" s="1" t="s">
        <v>19</v>
      </c>
      <c r="C6" s="2" t="s">
        <v>20</v>
      </c>
      <c r="D6" s="4">
        <v>1480</v>
      </c>
      <c r="E6" s="4" t="s">
        <v>9</v>
      </c>
      <c r="F6" s="4" t="s">
        <v>14</v>
      </c>
    </row>
    <row r="7" spans="1:9" x14ac:dyDescent="0.25">
      <c r="A7" s="1" t="s">
        <v>21</v>
      </c>
      <c r="B7" s="1" t="s">
        <v>22</v>
      </c>
      <c r="C7" s="2" t="s">
        <v>23</v>
      </c>
      <c r="D7" s="4">
        <v>308</v>
      </c>
      <c r="E7" s="4" t="s">
        <v>9</v>
      </c>
      <c r="F7" s="4" t="s">
        <v>24</v>
      </c>
    </row>
    <row r="8" spans="1:9" ht="181.2" customHeight="1" x14ac:dyDescent="0.25">
      <c r="A8" s="72" t="s">
        <v>25</v>
      </c>
      <c r="B8" s="42" t="s">
        <v>184</v>
      </c>
      <c r="C8" s="70" t="s">
        <v>270</v>
      </c>
      <c r="D8" s="73">
        <v>3080</v>
      </c>
      <c r="E8" s="6" t="s">
        <v>9</v>
      </c>
      <c r="F8" s="43" t="s">
        <v>273</v>
      </c>
      <c r="G8" s="71" t="s">
        <v>276</v>
      </c>
      <c r="H8" s="74" t="s">
        <v>275</v>
      </c>
      <c r="I8" s="74" t="s">
        <v>277</v>
      </c>
    </row>
    <row r="9" spans="1:9" ht="124.2" customHeight="1" x14ac:dyDescent="0.25">
      <c r="A9" s="72"/>
      <c r="B9" s="42" t="s">
        <v>185</v>
      </c>
      <c r="C9" s="70" t="s">
        <v>271</v>
      </c>
      <c r="D9" s="73">
        <v>6240</v>
      </c>
      <c r="E9" s="6" t="s">
        <v>9</v>
      </c>
      <c r="F9" s="43" t="s">
        <v>274</v>
      </c>
    </row>
    <row r="10" spans="1:9" ht="190.2" customHeight="1" x14ac:dyDescent="0.25">
      <c r="A10" s="72"/>
      <c r="B10" s="42" t="s">
        <v>186</v>
      </c>
      <c r="C10" s="70" t="s">
        <v>272</v>
      </c>
      <c r="D10" s="73">
        <v>9240</v>
      </c>
      <c r="E10" s="6" t="s">
        <v>9</v>
      </c>
      <c r="F10" s="73" t="s">
        <v>187</v>
      </c>
    </row>
  </sheetData>
  <mergeCells count="2">
    <mergeCell ref="A3:A6"/>
    <mergeCell ref="A8:A10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10806-D22D-4C67-947B-44764C7318FE}">
  <dimension ref="A1:H8"/>
  <sheetViews>
    <sheetView workbookViewId="0">
      <selection activeCell="C6" sqref="C6"/>
    </sheetView>
  </sheetViews>
  <sheetFormatPr defaultRowHeight="13.2" x14ac:dyDescent="0.25"/>
  <cols>
    <col min="1" max="1" width="15.33203125" customWidth="1"/>
    <col min="3" max="3" width="70.109375" customWidth="1"/>
    <col min="4" max="4" width="12.5546875" customWidth="1"/>
    <col min="8" max="8" width="22.21875" customWidth="1"/>
  </cols>
  <sheetData>
    <row r="1" spans="1:8" ht="13.8" x14ac:dyDescent="0.25">
      <c r="A1" s="54" t="s">
        <v>26</v>
      </c>
      <c r="B1" s="54"/>
      <c r="C1" s="54"/>
      <c r="D1" s="54"/>
      <c r="E1" s="54"/>
      <c r="F1" s="54"/>
      <c r="G1" s="54"/>
      <c r="H1" s="54"/>
    </row>
    <row r="2" spans="1:8" ht="41.4" x14ac:dyDescent="0.25">
      <c r="A2" s="19" t="s">
        <v>27</v>
      </c>
      <c r="B2" s="19" t="s">
        <v>28</v>
      </c>
      <c r="C2" s="19" t="s">
        <v>29</v>
      </c>
      <c r="D2" s="20" t="s">
        <v>30</v>
      </c>
      <c r="E2" s="19" t="s">
        <v>31</v>
      </c>
      <c r="F2" s="19" t="s">
        <v>32</v>
      </c>
      <c r="G2" s="19" t="s">
        <v>33</v>
      </c>
      <c r="H2" s="19" t="s">
        <v>34</v>
      </c>
    </row>
    <row r="3" spans="1:8" ht="27.6" x14ac:dyDescent="0.25">
      <c r="A3" s="21" t="s">
        <v>35</v>
      </c>
      <c r="B3" s="22" t="s">
        <v>36</v>
      </c>
      <c r="C3" s="22" t="s">
        <v>37</v>
      </c>
      <c r="D3" s="23">
        <v>400</v>
      </c>
      <c r="E3" s="24">
        <v>1</v>
      </c>
      <c r="F3" s="24" t="s">
        <v>38</v>
      </c>
      <c r="G3" s="23">
        <f>D3*E3</f>
        <v>400</v>
      </c>
      <c r="H3" s="24" t="s">
        <v>39</v>
      </c>
    </row>
    <row r="4" spans="1:8" ht="27.6" x14ac:dyDescent="0.25">
      <c r="A4" s="21" t="s">
        <v>40</v>
      </c>
      <c r="B4" s="22" t="s">
        <v>41</v>
      </c>
      <c r="C4" s="22" t="s">
        <v>42</v>
      </c>
      <c r="D4" s="23">
        <v>300</v>
      </c>
      <c r="E4" s="24">
        <v>1</v>
      </c>
      <c r="F4" s="24" t="s">
        <v>38</v>
      </c>
      <c r="G4" s="23">
        <f>D4*E4</f>
        <v>300</v>
      </c>
      <c r="H4" s="24" t="s">
        <v>39</v>
      </c>
    </row>
    <row r="5" spans="1:8" ht="138" x14ac:dyDescent="0.25">
      <c r="A5" s="21" t="s">
        <v>43</v>
      </c>
      <c r="B5" s="22" t="s">
        <v>44</v>
      </c>
      <c r="C5" s="22" t="s">
        <v>45</v>
      </c>
      <c r="D5" s="23">
        <v>600</v>
      </c>
      <c r="E5" s="24">
        <v>1</v>
      </c>
      <c r="F5" s="24" t="s">
        <v>46</v>
      </c>
      <c r="G5" s="23">
        <v>600</v>
      </c>
      <c r="H5" s="24"/>
    </row>
    <row r="6" spans="1:8" ht="27.6" x14ac:dyDescent="0.25">
      <c r="A6" s="22" t="s">
        <v>47</v>
      </c>
      <c r="B6" s="22" t="s">
        <v>48</v>
      </c>
      <c r="C6" s="22" t="s">
        <v>143</v>
      </c>
      <c r="D6" s="23">
        <v>300</v>
      </c>
      <c r="E6" s="24">
        <v>1</v>
      </c>
      <c r="F6" s="24" t="s">
        <v>38</v>
      </c>
      <c r="G6" s="23">
        <f>D6*E6</f>
        <v>300</v>
      </c>
      <c r="H6" s="24" t="s">
        <v>39</v>
      </c>
    </row>
    <row r="7" spans="1:8" ht="55.2" x14ac:dyDescent="0.25">
      <c r="A7" s="21" t="s">
        <v>49</v>
      </c>
      <c r="B7" s="22" t="s">
        <v>50</v>
      </c>
      <c r="C7" s="22" t="s">
        <v>51</v>
      </c>
      <c r="D7" s="23"/>
      <c r="E7" s="24">
        <v>1</v>
      </c>
      <c r="F7" s="24" t="s">
        <v>52</v>
      </c>
      <c r="G7" s="23"/>
      <c r="H7" s="25" t="s">
        <v>53</v>
      </c>
    </row>
    <row r="8" spans="1:8" ht="27.6" x14ac:dyDescent="0.25">
      <c r="A8" s="21" t="s">
        <v>54</v>
      </c>
      <c r="B8" s="22" t="s">
        <v>55</v>
      </c>
      <c r="C8" s="22" t="s">
        <v>56</v>
      </c>
      <c r="D8" s="23">
        <v>3000</v>
      </c>
      <c r="E8" s="24">
        <v>0</v>
      </c>
      <c r="F8" s="24" t="s">
        <v>57</v>
      </c>
      <c r="G8" s="23">
        <f>D8*E8</f>
        <v>0</v>
      </c>
      <c r="H8" s="25" t="s">
        <v>58</v>
      </c>
    </row>
  </sheetData>
  <mergeCells count="1">
    <mergeCell ref="A1:H1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A6935-9237-4644-A7B5-6142EBAC9168}">
  <dimension ref="A1:E22"/>
  <sheetViews>
    <sheetView workbookViewId="0">
      <selection activeCell="D26" sqref="D26"/>
    </sheetView>
  </sheetViews>
  <sheetFormatPr defaultRowHeight="13.2" x14ac:dyDescent="0.25"/>
  <cols>
    <col min="2" max="2" width="16.21875" customWidth="1"/>
    <col min="3" max="3" width="16.77734375" customWidth="1"/>
    <col min="4" max="4" width="101.6640625" customWidth="1"/>
    <col min="5" max="5" width="27" customWidth="1"/>
  </cols>
  <sheetData>
    <row r="1" spans="1:5" ht="13.8" x14ac:dyDescent="0.25">
      <c r="A1" s="9" t="s">
        <v>59</v>
      </c>
      <c r="B1" s="9" t="s">
        <v>60</v>
      </c>
      <c r="C1" s="9" t="s">
        <v>61</v>
      </c>
      <c r="D1" s="10" t="s">
        <v>62</v>
      </c>
      <c r="E1" s="11" t="s">
        <v>63</v>
      </c>
    </row>
    <row r="2" spans="1:5" ht="13.8" x14ac:dyDescent="0.25">
      <c r="A2" s="55" t="s">
        <v>64</v>
      </c>
      <c r="B2" s="13" t="s">
        <v>48</v>
      </c>
      <c r="C2" s="13" t="s">
        <v>65</v>
      </c>
      <c r="D2" s="14" t="s">
        <v>66</v>
      </c>
      <c r="E2" s="12">
        <v>300</v>
      </c>
    </row>
    <row r="3" spans="1:5" ht="13.8" x14ac:dyDescent="0.25">
      <c r="A3" s="55"/>
      <c r="B3" s="13" t="s">
        <v>67</v>
      </c>
      <c r="C3" s="13" t="s">
        <v>68</v>
      </c>
      <c r="D3" s="14" t="s">
        <v>69</v>
      </c>
      <c r="E3" s="12">
        <v>300</v>
      </c>
    </row>
    <row r="4" spans="1:5" ht="13.8" x14ac:dyDescent="0.25">
      <c r="A4" s="55"/>
      <c r="B4" s="13" t="s">
        <v>70</v>
      </c>
      <c r="C4" s="13" t="s">
        <v>71</v>
      </c>
      <c r="D4" s="14" t="s">
        <v>72</v>
      </c>
      <c r="E4" s="12">
        <v>300</v>
      </c>
    </row>
    <row r="5" spans="1:5" ht="13.8" x14ac:dyDescent="0.25">
      <c r="A5" s="55"/>
      <c r="B5" s="15" t="s">
        <v>73</v>
      </c>
      <c r="C5" s="13" t="s">
        <v>74</v>
      </c>
      <c r="D5" s="14" t="s">
        <v>75</v>
      </c>
      <c r="E5" s="12">
        <v>300</v>
      </c>
    </row>
    <row r="6" spans="1:5" ht="13.8" x14ac:dyDescent="0.25">
      <c r="A6" s="55"/>
      <c r="B6" s="15" t="s">
        <v>76</v>
      </c>
      <c r="C6" s="13" t="s">
        <v>77</v>
      </c>
      <c r="D6" s="16" t="s">
        <v>78</v>
      </c>
      <c r="E6" s="12" t="s">
        <v>79</v>
      </c>
    </row>
    <row r="7" spans="1:5" ht="41.4" x14ac:dyDescent="0.25">
      <c r="A7" s="55"/>
      <c r="B7" s="56" t="s">
        <v>80</v>
      </c>
      <c r="C7" s="57" t="s">
        <v>81</v>
      </c>
      <c r="D7" s="14" t="s">
        <v>82</v>
      </c>
      <c r="E7" s="55" t="s">
        <v>79</v>
      </c>
    </row>
    <row r="8" spans="1:5" ht="13.8" x14ac:dyDescent="0.25">
      <c r="A8" s="55"/>
      <c r="B8" s="56"/>
      <c r="C8" s="57"/>
      <c r="D8" s="14" t="s">
        <v>83</v>
      </c>
      <c r="E8" s="55"/>
    </row>
    <row r="9" spans="1:5" ht="13.8" x14ac:dyDescent="0.25">
      <c r="A9" s="55"/>
      <c r="B9" s="15" t="s">
        <v>84</v>
      </c>
      <c r="C9" s="17" t="s">
        <v>85</v>
      </c>
      <c r="D9" s="18" t="s">
        <v>86</v>
      </c>
      <c r="E9" s="12" t="s">
        <v>79</v>
      </c>
    </row>
    <row r="10" spans="1:5" ht="27.6" x14ac:dyDescent="0.25">
      <c r="A10" s="55"/>
      <c r="B10" s="15" t="s">
        <v>87</v>
      </c>
      <c r="C10" s="13" t="s">
        <v>88</v>
      </c>
      <c r="D10" s="14" t="s">
        <v>89</v>
      </c>
      <c r="E10" s="12">
        <v>300</v>
      </c>
    </row>
    <row r="11" spans="1:5" ht="27.6" x14ac:dyDescent="0.25">
      <c r="A11" s="55"/>
      <c r="B11" s="15" t="s">
        <v>90</v>
      </c>
      <c r="C11" s="13" t="s">
        <v>91</v>
      </c>
      <c r="D11" s="14" t="s">
        <v>92</v>
      </c>
      <c r="E11" s="12">
        <v>300</v>
      </c>
    </row>
    <row r="12" spans="1:5" ht="13.8" x14ac:dyDescent="0.25">
      <c r="A12" s="55"/>
      <c r="B12" s="15" t="s">
        <v>93</v>
      </c>
      <c r="C12" s="13" t="s">
        <v>94</v>
      </c>
      <c r="D12" s="14" t="s">
        <v>95</v>
      </c>
      <c r="E12" s="12">
        <v>300</v>
      </c>
    </row>
    <row r="13" spans="1:5" ht="13.8" x14ac:dyDescent="0.25">
      <c r="A13" s="55"/>
      <c r="B13" s="15" t="s">
        <v>96</v>
      </c>
      <c r="C13" s="13" t="s">
        <v>97</v>
      </c>
      <c r="D13" s="14" t="s">
        <v>98</v>
      </c>
      <c r="E13" s="12">
        <v>300</v>
      </c>
    </row>
    <row r="14" spans="1:5" ht="13.8" x14ac:dyDescent="0.25">
      <c r="A14" s="55"/>
      <c r="B14" s="15" t="s">
        <v>99</v>
      </c>
      <c r="C14" s="13" t="s">
        <v>100</v>
      </c>
      <c r="D14" s="14" t="s">
        <v>101</v>
      </c>
      <c r="E14" s="12" t="s">
        <v>79</v>
      </c>
    </row>
    <row r="15" spans="1:5" ht="13.8" x14ac:dyDescent="0.25">
      <c r="A15" s="55"/>
      <c r="B15" s="15" t="s">
        <v>102</v>
      </c>
      <c r="C15" s="16" t="s">
        <v>103</v>
      </c>
      <c r="D15" s="16" t="s">
        <v>104</v>
      </c>
      <c r="E15" s="12" t="s">
        <v>79</v>
      </c>
    </row>
    <row r="16" spans="1:5" ht="27.6" x14ac:dyDescent="0.25">
      <c r="A16" s="55"/>
      <c r="B16" s="15" t="s">
        <v>105</v>
      </c>
      <c r="C16" s="13" t="s">
        <v>106</v>
      </c>
      <c r="D16" s="14" t="s">
        <v>107</v>
      </c>
      <c r="E16" s="12">
        <v>300</v>
      </c>
    </row>
    <row r="17" spans="1:5" ht="13.8" x14ac:dyDescent="0.25">
      <c r="A17" s="55"/>
      <c r="B17" s="15" t="s">
        <v>108</v>
      </c>
      <c r="C17" s="13" t="s">
        <v>109</v>
      </c>
      <c r="D17" s="14" t="s">
        <v>110</v>
      </c>
      <c r="E17" s="12">
        <v>300</v>
      </c>
    </row>
    <row r="18" spans="1:5" ht="13.8" x14ac:dyDescent="0.25">
      <c r="A18" s="55"/>
      <c r="B18" s="15" t="s">
        <v>111</v>
      </c>
      <c r="C18" s="13" t="s">
        <v>112</v>
      </c>
      <c r="D18" s="16" t="s">
        <v>113</v>
      </c>
      <c r="E18" s="12">
        <v>300</v>
      </c>
    </row>
    <row r="19" spans="1:5" ht="13.8" x14ac:dyDescent="0.25">
      <c r="A19" s="55"/>
      <c r="B19" s="15" t="s">
        <v>114</v>
      </c>
      <c r="C19" s="13" t="s">
        <v>115</v>
      </c>
      <c r="D19" s="16" t="s">
        <v>116</v>
      </c>
      <c r="E19" s="12">
        <v>300</v>
      </c>
    </row>
    <row r="20" spans="1:5" ht="13.8" x14ac:dyDescent="0.25">
      <c r="A20" s="55"/>
      <c r="B20" s="15" t="s">
        <v>117</v>
      </c>
      <c r="C20" s="13" t="s">
        <v>118</v>
      </c>
      <c r="D20" s="14" t="s">
        <v>119</v>
      </c>
      <c r="E20" s="12">
        <v>300</v>
      </c>
    </row>
    <row r="21" spans="1:5" ht="13.8" x14ac:dyDescent="0.25">
      <c r="A21" s="55"/>
      <c r="B21" s="15" t="s">
        <v>120</v>
      </c>
      <c r="C21" s="13" t="s">
        <v>121</v>
      </c>
      <c r="D21" s="16" t="s">
        <v>122</v>
      </c>
      <c r="E21" s="12">
        <v>300</v>
      </c>
    </row>
    <row r="22" spans="1:5" ht="13.8" x14ac:dyDescent="0.25">
      <c r="A22" s="55"/>
      <c r="B22" s="15" t="s">
        <v>123</v>
      </c>
      <c r="C22" s="13" t="s">
        <v>124</v>
      </c>
      <c r="D22" s="14" t="s">
        <v>125</v>
      </c>
      <c r="E22" s="12">
        <v>300</v>
      </c>
    </row>
  </sheetData>
  <mergeCells count="4">
    <mergeCell ref="A2:A22"/>
    <mergeCell ref="B7:B8"/>
    <mergeCell ref="C7:C8"/>
    <mergeCell ref="E7:E8"/>
  </mergeCells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B28B-6BB3-4CAF-96DB-AD7B6E7D05A7}">
  <sheetPr>
    <outlinePr summaryBelow="0" summaryRight="0"/>
  </sheetPr>
  <dimension ref="A1:G53"/>
  <sheetViews>
    <sheetView topLeftCell="A19" workbookViewId="0">
      <selection activeCell="C39" sqref="C39:G39"/>
    </sheetView>
  </sheetViews>
  <sheetFormatPr defaultColWidth="14" defaultRowHeight="13.2" x14ac:dyDescent="0.25"/>
  <cols>
    <col min="1" max="1" width="24.5546875" style="44" customWidth="1"/>
    <col min="2" max="16384" width="14" style="44"/>
  </cols>
  <sheetData>
    <row r="1" spans="1:7" ht="13.2" customHeight="1" x14ac:dyDescent="0.25">
      <c r="A1" s="60" t="s">
        <v>269</v>
      </c>
      <c r="B1" s="60"/>
      <c r="C1" s="60"/>
      <c r="D1" s="60"/>
      <c r="E1" s="60"/>
      <c r="F1" s="60"/>
      <c r="G1" s="60"/>
    </row>
    <row r="2" spans="1:7" x14ac:dyDescent="0.25">
      <c r="A2" s="60"/>
      <c r="B2" s="60"/>
      <c r="C2" s="60"/>
      <c r="D2" s="60"/>
      <c r="E2" s="60"/>
      <c r="F2" s="60"/>
      <c r="G2" s="60"/>
    </row>
    <row r="3" spans="1:7" x14ac:dyDescent="0.25">
      <c r="A3" s="60"/>
      <c r="B3" s="60"/>
      <c r="C3" s="60"/>
      <c r="D3" s="60"/>
      <c r="E3" s="60"/>
      <c r="F3" s="60"/>
      <c r="G3" s="60"/>
    </row>
    <row r="4" spans="1:7" x14ac:dyDescent="0.25">
      <c r="A4" s="45" t="s">
        <v>188</v>
      </c>
      <c r="B4" s="45" t="s">
        <v>189</v>
      </c>
      <c r="C4" s="46" t="s">
        <v>190</v>
      </c>
      <c r="D4" s="46" t="s">
        <v>191</v>
      </c>
      <c r="E4" s="46" t="s">
        <v>192</v>
      </c>
      <c r="F4" s="46"/>
      <c r="G4" s="46" t="s">
        <v>193</v>
      </c>
    </row>
    <row r="5" spans="1:7" x14ac:dyDescent="0.25">
      <c r="A5" s="47"/>
      <c r="B5" s="48"/>
      <c r="C5" s="48" t="s">
        <v>194</v>
      </c>
      <c r="D5" s="48">
        <v>8</v>
      </c>
      <c r="E5" s="48">
        <v>16</v>
      </c>
      <c r="F5" s="48"/>
      <c r="G5" s="48" t="s">
        <v>195</v>
      </c>
    </row>
    <row r="6" spans="1:7" x14ac:dyDescent="0.25">
      <c r="A6" s="61" t="s">
        <v>196</v>
      </c>
      <c r="B6" s="62" t="s">
        <v>197</v>
      </c>
      <c r="C6" s="48" t="s">
        <v>198</v>
      </c>
      <c r="D6" s="48">
        <v>4</v>
      </c>
      <c r="E6" s="48">
        <v>8</v>
      </c>
      <c r="F6" s="48"/>
      <c r="G6" s="48" t="s">
        <v>195</v>
      </c>
    </row>
    <row r="7" spans="1:7" x14ac:dyDescent="0.25">
      <c r="A7" s="61"/>
      <c r="B7" s="62"/>
      <c r="C7" s="48" t="s">
        <v>199</v>
      </c>
      <c r="D7" s="48">
        <v>4</v>
      </c>
      <c r="E7" s="48">
        <v>8</v>
      </c>
      <c r="F7" s="48"/>
      <c r="G7" s="48" t="s">
        <v>195</v>
      </c>
    </row>
    <row r="8" spans="1:7" x14ac:dyDescent="0.25">
      <c r="A8" s="61"/>
      <c r="B8" s="62"/>
      <c r="C8" s="48" t="s">
        <v>200</v>
      </c>
      <c r="D8" s="48">
        <v>4</v>
      </c>
      <c r="E8" s="48">
        <v>8</v>
      </c>
      <c r="F8" s="48"/>
      <c r="G8" s="48" t="s">
        <v>195</v>
      </c>
    </row>
    <row r="9" spans="1:7" x14ac:dyDescent="0.25">
      <c r="A9" s="61"/>
      <c r="B9" s="62"/>
      <c r="C9" s="48" t="s">
        <v>201</v>
      </c>
      <c r="D9" s="48">
        <v>4</v>
      </c>
      <c r="E9" s="48">
        <v>16</v>
      </c>
      <c r="F9" s="48"/>
      <c r="G9" s="48" t="s">
        <v>195</v>
      </c>
    </row>
    <row r="10" spans="1:7" x14ac:dyDescent="0.25">
      <c r="A10" s="61"/>
      <c r="B10" s="62"/>
      <c r="C10" s="48" t="s">
        <v>202</v>
      </c>
      <c r="D10" s="48">
        <v>4</v>
      </c>
      <c r="E10" s="48">
        <v>16</v>
      </c>
      <c r="F10" s="48"/>
      <c r="G10" s="48" t="s">
        <v>195</v>
      </c>
    </row>
    <row r="11" spans="1:7" x14ac:dyDescent="0.25">
      <c r="A11" s="61"/>
      <c r="B11" s="62"/>
      <c r="C11" s="48" t="s">
        <v>203</v>
      </c>
      <c r="D11" s="48">
        <v>4</v>
      </c>
      <c r="E11" s="48">
        <v>16</v>
      </c>
      <c r="F11" s="48"/>
      <c r="G11" s="48" t="s">
        <v>195</v>
      </c>
    </row>
    <row r="12" spans="1:7" x14ac:dyDescent="0.25">
      <c r="A12" s="61"/>
      <c r="B12" s="62"/>
      <c r="C12" s="48" t="s">
        <v>204</v>
      </c>
      <c r="D12" s="48">
        <v>4</v>
      </c>
      <c r="E12" s="48">
        <v>16</v>
      </c>
      <c r="F12" s="48"/>
      <c r="G12" s="48" t="s">
        <v>195</v>
      </c>
    </row>
    <row r="13" spans="1:7" x14ac:dyDescent="0.25">
      <c r="A13" s="61"/>
      <c r="B13" s="62"/>
      <c r="C13" s="48" t="s">
        <v>205</v>
      </c>
      <c r="D13" s="48">
        <v>4</v>
      </c>
      <c r="E13" s="48">
        <v>16</v>
      </c>
      <c r="F13" s="48"/>
      <c r="G13" s="48" t="s">
        <v>195</v>
      </c>
    </row>
    <row r="14" spans="1:7" x14ac:dyDescent="0.25">
      <c r="A14" s="61"/>
      <c r="B14" s="62"/>
      <c r="C14" s="48" t="s">
        <v>206</v>
      </c>
      <c r="D14" s="48">
        <v>4</v>
      </c>
      <c r="E14" s="48">
        <v>16</v>
      </c>
      <c r="F14" s="48"/>
      <c r="G14" s="48" t="s">
        <v>195</v>
      </c>
    </row>
    <row r="15" spans="1:7" x14ac:dyDescent="0.25">
      <c r="A15" s="61"/>
      <c r="B15" s="62"/>
      <c r="C15" s="48" t="s">
        <v>207</v>
      </c>
      <c r="D15" s="48">
        <v>4</v>
      </c>
      <c r="E15" s="48">
        <v>16</v>
      </c>
      <c r="F15" s="48"/>
      <c r="G15" s="48" t="s">
        <v>195</v>
      </c>
    </row>
    <row r="16" spans="1:7" x14ac:dyDescent="0.25">
      <c r="A16" s="61"/>
      <c r="B16" s="62"/>
      <c r="C16" s="48" t="s">
        <v>208</v>
      </c>
      <c r="D16" s="48">
        <v>4</v>
      </c>
      <c r="E16" s="48">
        <v>16</v>
      </c>
      <c r="F16" s="48"/>
      <c r="G16" s="48" t="s">
        <v>195</v>
      </c>
    </row>
    <row r="17" spans="1:7" x14ac:dyDescent="0.25">
      <c r="A17" s="61"/>
      <c r="B17" s="62"/>
      <c r="C17" s="48" t="s">
        <v>209</v>
      </c>
      <c r="D17" s="48">
        <v>4</v>
      </c>
      <c r="E17" s="48">
        <v>16</v>
      </c>
      <c r="F17" s="48"/>
      <c r="G17" s="48" t="s">
        <v>195</v>
      </c>
    </row>
    <row r="18" spans="1:7" x14ac:dyDescent="0.25">
      <c r="A18" s="61"/>
      <c r="B18" s="62"/>
      <c r="C18" s="48" t="s">
        <v>210</v>
      </c>
      <c r="D18" s="48">
        <v>4</v>
      </c>
      <c r="E18" s="48">
        <v>16</v>
      </c>
      <c r="F18" s="48"/>
      <c r="G18" s="48" t="s">
        <v>195</v>
      </c>
    </row>
    <row r="19" spans="1:7" x14ac:dyDescent="0.25">
      <c r="A19" s="61"/>
      <c r="B19" s="62"/>
      <c r="C19" s="48" t="s">
        <v>211</v>
      </c>
      <c r="D19" s="48">
        <v>4</v>
      </c>
      <c r="E19" s="48">
        <v>16</v>
      </c>
      <c r="F19" s="48"/>
      <c r="G19" s="48" t="s">
        <v>195</v>
      </c>
    </row>
    <row r="20" spans="1:7" x14ac:dyDescent="0.25">
      <c r="A20" s="61"/>
      <c r="B20" s="62"/>
      <c r="C20" s="48" t="s">
        <v>212</v>
      </c>
      <c r="D20" s="48"/>
      <c r="E20" s="48"/>
      <c r="F20" s="48"/>
      <c r="G20" s="48"/>
    </row>
    <row r="21" spans="1:7" x14ac:dyDescent="0.25">
      <c r="A21" s="61"/>
      <c r="B21" s="62"/>
      <c r="C21" s="48" t="s">
        <v>213</v>
      </c>
      <c r="D21" s="48">
        <v>4</v>
      </c>
      <c r="E21" s="48">
        <v>16</v>
      </c>
      <c r="F21" s="48"/>
      <c r="G21" s="48" t="s">
        <v>195</v>
      </c>
    </row>
    <row r="22" spans="1:7" x14ac:dyDescent="0.25">
      <c r="A22" s="61"/>
      <c r="B22" s="62"/>
      <c r="C22" s="48" t="s">
        <v>214</v>
      </c>
      <c r="D22" s="48">
        <v>8</v>
      </c>
      <c r="E22" s="48">
        <v>32</v>
      </c>
      <c r="F22" s="48"/>
      <c r="G22" s="48" t="s">
        <v>215</v>
      </c>
    </row>
    <row r="23" spans="1:7" x14ac:dyDescent="0.25">
      <c r="A23" s="61"/>
      <c r="B23" s="62"/>
      <c r="C23" s="48" t="s">
        <v>216</v>
      </c>
      <c r="D23" s="48">
        <v>4</v>
      </c>
      <c r="E23" s="48">
        <v>16</v>
      </c>
      <c r="F23" s="48"/>
      <c r="G23" s="48" t="s">
        <v>195</v>
      </c>
    </row>
    <row r="24" spans="1:7" x14ac:dyDescent="0.25">
      <c r="A24" s="61"/>
      <c r="B24" s="62"/>
      <c r="C24" s="48" t="s">
        <v>217</v>
      </c>
      <c r="D24" s="48">
        <v>8</v>
      </c>
      <c r="E24" s="48">
        <v>32</v>
      </c>
      <c r="F24" s="48" t="s">
        <v>218</v>
      </c>
      <c r="G24" s="48"/>
    </row>
    <row r="25" spans="1:7" x14ac:dyDescent="0.25">
      <c r="A25" s="61"/>
      <c r="B25" s="62"/>
      <c r="C25" s="48" t="s">
        <v>219</v>
      </c>
      <c r="D25" s="48">
        <v>40</v>
      </c>
      <c r="E25" s="48">
        <v>160</v>
      </c>
      <c r="F25" s="48" t="s">
        <v>220</v>
      </c>
      <c r="G25" s="48"/>
    </row>
    <row r="26" spans="1:7" x14ac:dyDescent="0.25">
      <c r="A26" s="61"/>
      <c r="B26" s="62"/>
      <c r="C26" s="48" t="s">
        <v>221</v>
      </c>
      <c r="D26" s="48">
        <v>8</v>
      </c>
      <c r="E26" s="48">
        <v>32</v>
      </c>
      <c r="F26" s="48" t="s">
        <v>218</v>
      </c>
      <c r="G26" s="48"/>
    </row>
    <row r="27" spans="1:7" x14ac:dyDescent="0.25">
      <c r="A27" s="49" t="s">
        <v>222</v>
      </c>
      <c r="B27" s="62"/>
      <c r="C27" s="48" t="s">
        <v>223</v>
      </c>
      <c r="D27" s="49">
        <v>4</v>
      </c>
      <c r="E27" s="49">
        <v>8</v>
      </c>
      <c r="F27" s="49"/>
      <c r="G27" s="49" t="s">
        <v>224</v>
      </c>
    </row>
    <row r="28" spans="1:7" x14ac:dyDescent="0.25">
      <c r="A28" s="49" t="s">
        <v>225</v>
      </c>
      <c r="B28" s="62"/>
      <c r="C28" s="48" t="s">
        <v>226</v>
      </c>
      <c r="D28" s="58" t="s">
        <v>227</v>
      </c>
      <c r="E28" s="58"/>
      <c r="F28" s="58"/>
      <c r="G28" s="58"/>
    </row>
    <row r="29" spans="1:7" x14ac:dyDescent="0.25">
      <c r="A29" s="49" t="s">
        <v>228</v>
      </c>
      <c r="B29" s="62"/>
      <c r="C29" s="48" t="s">
        <v>226</v>
      </c>
      <c r="D29" s="58" t="s">
        <v>229</v>
      </c>
      <c r="E29" s="58"/>
      <c r="F29" s="58"/>
      <c r="G29" s="58"/>
    </row>
    <row r="30" spans="1:7" x14ac:dyDescent="0.25">
      <c r="A30" s="49" t="s">
        <v>230</v>
      </c>
      <c r="B30" s="62"/>
      <c r="C30" s="48" t="s">
        <v>231</v>
      </c>
      <c r="D30" s="58" t="s">
        <v>232</v>
      </c>
      <c r="E30" s="58"/>
      <c r="F30" s="58"/>
      <c r="G30" s="58"/>
    </row>
    <row r="31" spans="1:7" x14ac:dyDescent="0.25">
      <c r="A31" s="58" t="s">
        <v>233</v>
      </c>
      <c r="B31" s="58" t="s">
        <v>197</v>
      </c>
      <c r="C31" s="48" t="s">
        <v>234</v>
      </c>
      <c r="D31" s="48">
        <v>4</v>
      </c>
      <c r="E31" s="48">
        <v>8</v>
      </c>
      <c r="F31" s="48"/>
      <c r="G31" s="48" t="s">
        <v>224</v>
      </c>
    </row>
    <row r="32" spans="1:7" x14ac:dyDescent="0.25">
      <c r="A32" s="58"/>
      <c r="B32" s="58"/>
      <c r="C32" s="48" t="s">
        <v>235</v>
      </c>
      <c r="D32" s="48">
        <v>4</v>
      </c>
      <c r="E32" s="48">
        <v>8</v>
      </c>
      <c r="F32" s="48"/>
      <c r="G32" s="48" t="s">
        <v>224</v>
      </c>
    </row>
    <row r="33" spans="1:7" x14ac:dyDescent="0.25">
      <c r="A33" s="58"/>
      <c r="B33" s="58"/>
      <c r="C33" s="48" t="s">
        <v>236</v>
      </c>
      <c r="D33" s="48">
        <v>4</v>
      </c>
      <c r="E33" s="48">
        <v>8</v>
      </c>
      <c r="F33" s="48"/>
      <c r="G33" s="48" t="s">
        <v>224</v>
      </c>
    </row>
    <row r="34" spans="1:7" x14ac:dyDescent="0.25">
      <c r="A34" s="49" t="s">
        <v>214</v>
      </c>
      <c r="B34" s="49"/>
      <c r="C34" s="48"/>
      <c r="D34" s="48">
        <v>8</v>
      </c>
      <c r="E34" s="48">
        <v>32</v>
      </c>
      <c r="F34" s="48"/>
      <c r="G34" s="48" t="s">
        <v>215</v>
      </c>
    </row>
    <row r="35" spans="1:7" x14ac:dyDescent="0.25">
      <c r="A35" s="49" t="s">
        <v>237</v>
      </c>
      <c r="B35" s="58" t="s">
        <v>238</v>
      </c>
      <c r="C35" s="48" t="s">
        <v>231</v>
      </c>
      <c r="D35" s="61" t="s">
        <v>239</v>
      </c>
      <c r="E35" s="61"/>
      <c r="F35" s="61"/>
      <c r="G35" s="61"/>
    </row>
    <row r="36" spans="1:7" x14ac:dyDescent="0.25">
      <c r="A36" s="49" t="s">
        <v>240</v>
      </c>
      <c r="B36" s="58"/>
      <c r="C36" s="58" t="s">
        <v>241</v>
      </c>
      <c r="D36" s="58"/>
      <c r="E36" s="58"/>
      <c r="F36" s="58"/>
      <c r="G36" s="58"/>
    </row>
    <row r="37" spans="1:7" x14ac:dyDescent="0.25">
      <c r="A37" s="75" t="s">
        <v>242</v>
      </c>
      <c r="B37" s="58"/>
      <c r="C37" s="58" t="s">
        <v>243</v>
      </c>
      <c r="D37" s="58"/>
      <c r="E37" s="58"/>
      <c r="F37" s="58"/>
      <c r="G37" s="58"/>
    </row>
    <row r="38" spans="1:7" x14ac:dyDescent="0.25">
      <c r="A38" s="49" t="s">
        <v>244</v>
      </c>
      <c r="B38" s="58"/>
      <c r="C38" s="58" t="s">
        <v>245</v>
      </c>
      <c r="D38" s="58"/>
      <c r="E38" s="58"/>
      <c r="F38" s="58"/>
      <c r="G38" s="58"/>
    </row>
    <row r="39" spans="1:7" ht="28.2" customHeight="1" x14ac:dyDescent="0.25">
      <c r="A39" s="47" t="s">
        <v>246</v>
      </c>
      <c r="B39" s="58"/>
      <c r="C39" s="58" t="s">
        <v>243</v>
      </c>
      <c r="D39" s="58"/>
      <c r="E39" s="58"/>
      <c r="F39" s="58"/>
      <c r="G39" s="58"/>
    </row>
    <row r="40" spans="1:7" x14ac:dyDescent="0.25">
      <c r="A40" s="49" t="s">
        <v>247</v>
      </c>
      <c r="B40" s="58"/>
      <c r="C40" s="58" t="s">
        <v>243</v>
      </c>
      <c r="D40" s="58"/>
      <c r="E40" s="58"/>
      <c r="F40" s="58"/>
      <c r="G40" s="58"/>
    </row>
    <row r="41" spans="1:7" x14ac:dyDescent="0.25">
      <c r="A41" s="49" t="s">
        <v>248</v>
      </c>
      <c r="B41" s="58"/>
      <c r="C41" s="58" t="s">
        <v>243</v>
      </c>
      <c r="D41" s="58"/>
      <c r="E41" s="58"/>
      <c r="F41" s="58"/>
      <c r="G41" s="58"/>
    </row>
    <row r="42" spans="1:7" x14ac:dyDescent="0.25">
      <c r="A42" s="49" t="s">
        <v>249</v>
      </c>
      <c r="B42" s="58"/>
      <c r="C42" s="58" t="s">
        <v>243</v>
      </c>
      <c r="D42" s="58"/>
      <c r="E42" s="58"/>
      <c r="F42" s="58"/>
      <c r="G42" s="58"/>
    </row>
    <row r="43" spans="1:7" ht="25.2" x14ac:dyDescent="0.25">
      <c r="A43" s="76" t="s">
        <v>250</v>
      </c>
      <c r="B43" s="58"/>
      <c r="C43" s="58" t="s">
        <v>243</v>
      </c>
      <c r="D43" s="58"/>
      <c r="E43" s="58"/>
      <c r="F43" s="58"/>
      <c r="G43" s="58"/>
    </row>
    <row r="44" spans="1:7" x14ac:dyDescent="0.25">
      <c r="A44" s="49" t="s">
        <v>251</v>
      </c>
      <c r="B44" s="49"/>
      <c r="C44" s="58" t="s">
        <v>252</v>
      </c>
      <c r="D44" s="58"/>
      <c r="E44" s="58"/>
      <c r="F44" s="58"/>
      <c r="G44" s="58"/>
    </row>
    <row r="45" spans="1:7" x14ac:dyDescent="0.25">
      <c r="A45" s="58" t="s">
        <v>253</v>
      </c>
      <c r="B45" s="58" t="s">
        <v>197</v>
      </c>
      <c r="C45" s="48" t="s">
        <v>254</v>
      </c>
      <c r="D45" s="48">
        <v>4</v>
      </c>
      <c r="E45" s="48">
        <v>8</v>
      </c>
      <c r="F45" s="48"/>
      <c r="G45" s="48" t="s">
        <v>224</v>
      </c>
    </row>
    <row r="46" spans="1:7" x14ac:dyDescent="0.25">
      <c r="A46" s="58"/>
      <c r="B46" s="58"/>
      <c r="C46" s="48" t="s">
        <v>255</v>
      </c>
      <c r="D46" s="58" t="s">
        <v>256</v>
      </c>
      <c r="E46" s="58"/>
      <c r="F46" s="58"/>
      <c r="G46" s="58"/>
    </row>
    <row r="47" spans="1:7" x14ac:dyDescent="0.25">
      <c r="A47" s="49" t="s">
        <v>257</v>
      </c>
      <c r="B47" s="58"/>
      <c r="C47" s="48" t="s">
        <v>258</v>
      </c>
      <c r="D47" s="48">
        <v>4</v>
      </c>
      <c r="E47" s="48">
        <v>16</v>
      </c>
      <c r="F47" s="48"/>
      <c r="G47" s="50" t="s">
        <v>195</v>
      </c>
    </row>
    <row r="48" spans="1:7" x14ac:dyDescent="0.25">
      <c r="A48" s="58" t="s">
        <v>259</v>
      </c>
      <c r="B48" s="58" t="s">
        <v>260</v>
      </c>
      <c r="C48" s="48" t="s">
        <v>261</v>
      </c>
      <c r="D48" s="48">
        <v>4</v>
      </c>
      <c r="E48" s="48">
        <v>16</v>
      </c>
      <c r="F48" s="48"/>
      <c r="G48" s="48" t="s">
        <v>262</v>
      </c>
    </row>
    <row r="49" spans="1:7" x14ac:dyDescent="0.25">
      <c r="A49" s="58"/>
      <c r="B49" s="58"/>
      <c r="C49" s="48" t="s">
        <v>263</v>
      </c>
      <c r="D49" s="48">
        <v>4</v>
      </c>
      <c r="E49" s="48">
        <v>16</v>
      </c>
      <c r="F49" s="48"/>
      <c r="G49" s="48" t="s">
        <v>262</v>
      </c>
    </row>
    <row r="50" spans="1:7" x14ac:dyDescent="0.25">
      <c r="A50" s="58"/>
      <c r="B50" s="58"/>
      <c r="C50" s="48" t="s">
        <v>264</v>
      </c>
      <c r="D50" s="48">
        <v>4</v>
      </c>
      <c r="E50" s="48">
        <v>16</v>
      </c>
      <c r="F50" s="48"/>
      <c r="G50" s="48" t="s">
        <v>262</v>
      </c>
    </row>
    <row r="51" spans="1:7" x14ac:dyDescent="0.25">
      <c r="A51" s="59"/>
      <c r="B51" s="58" t="s">
        <v>197</v>
      </c>
      <c r="C51" s="48" t="s">
        <v>265</v>
      </c>
      <c r="D51" s="48">
        <v>2</v>
      </c>
      <c r="E51" s="51">
        <v>4</v>
      </c>
      <c r="F51" s="49" t="s">
        <v>266</v>
      </c>
      <c r="G51" s="52" t="s">
        <v>224</v>
      </c>
    </row>
    <row r="52" spans="1:7" x14ac:dyDescent="0.25">
      <c r="A52" s="59"/>
      <c r="B52" s="58"/>
      <c r="C52" s="48" t="s">
        <v>267</v>
      </c>
      <c r="D52" s="48">
        <v>2</v>
      </c>
      <c r="E52" s="51">
        <v>4</v>
      </c>
      <c r="F52" s="49" t="s">
        <v>266</v>
      </c>
      <c r="G52" s="48" t="s">
        <v>224</v>
      </c>
    </row>
    <row r="53" spans="1:7" x14ac:dyDescent="0.25">
      <c r="A53" s="59"/>
      <c r="B53" s="58"/>
      <c r="C53" s="48" t="s">
        <v>268</v>
      </c>
      <c r="D53" s="48">
        <v>2</v>
      </c>
      <c r="E53" s="51">
        <v>4</v>
      </c>
      <c r="F53" s="49" t="s">
        <v>266</v>
      </c>
      <c r="G53" s="48" t="s">
        <v>224</v>
      </c>
    </row>
  </sheetData>
  <mergeCells count="26">
    <mergeCell ref="A6:A26"/>
    <mergeCell ref="B6:B30"/>
    <mergeCell ref="D28:G28"/>
    <mergeCell ref="D29:G29"/>
    <mergeCell ref="D30:G30"/>
    <mergeCell ref="C37:G37"/>
    <mergeCell ref="C38:G38"/>
    <mergeCell ref="C39:G39"/>
    <mergeCell ref="C40:G40"/>
    <mergeCell ref="C41:G41"/>
    <mergeCell ref="A48:A50"/>
    <mergeCell ref="B48:B50"/>
    <mergeCell ref="A51:A53"/>
    <mergeCell ref="B51:B53"/>
    <mergeCell ref="A1:G3"/>
    <mergeCell ref="C42:G42"/>
    <mergeCell ref="C43:G43"/>
    <mergeCell ref="C44:G44"/>
    <mergeCell ref="A45:A46"/>
    <mergeCell ref="B45:B47"/>
    <mergeCell ref="D46:G46"/>
    <mergeCell ref="A31:A33"/>
    <mergeCell ref="B31:B33"/>
    <mergeCell ref="B35:B43"/>
    <mergeCell ref="D35:G35"/>
    <mergeCell ref="C36:G36"/>
  </mergeCells>
  <phoneticPr fontId="5" type="noConversion"/>
  <pageMargins left="0.7" right="0.7" top="0.75" bottom="0.75" header="0.3" footer="0.3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6F303-71D4-4FC4-B4B0-58B9A382CE45}">
  <sheetPr>
    <outlinePr summaryBelow="0" summaryRight="0"/>
  </sheetPr>
  <dimension ref="A1:H10"/>
  <sheetViews>
    <sheetView workbookViewId="0">
      <selection activeCell="G25" sqref="G25"/>
    </sheetView>
  </sheetViews>
  <sheetFormatPr defaultColWidth="14" defaultRowHeight="13.2" x14ac:dyDescent="0.25"/>
  <cols>
    <col min="1" max="3" width="14" style="26" customWidth="1"/>
    <col min="4" max="4" width="14" style="26"/>
    <col min="5" max="6" width="14" style="26" customWidth="1"/>
    <col min="7" max="7" width="14" style="26"/>
    <col min="8" max="8" width="14" style="26" customWidth="1"/>
    <col min="9" max="16384" width="14" style="26"/>
  </cols>
  <sheetData>
    <row r="1" spans="1:8" x14ac:dyDescent="0.25">
      <c r="A1" s="63" t="s">
        <v>126</v>
      </c>
      <c r="B1" s="63"/>
      <c r="C1" s="63"/>
      <c r="D1" s="63"/>
      <c r="E1" s="63"/>
      <c r="F1" s="63"/>
      <c r="G1" s="63"/>
      <c r="H1" s="63"/>
    </row>
    <row r="2" spans="1:8" ht="34.200000000000003" x14ac:dyDescent="0.25">
      <c r="A2" s="27" t="s">
        <v>127</v>
      </c>
      <c r="B2" s="27" t="s">
        <v>128</v>
      </c>
      <c r="C2" s="27" t="s">
        <v>29</v>
      </c>
      <c r="D2" s="28" t="s">
        <v>129</v>
      </c>
      <c r="E2" s="27" t="s">
        <v>31</v>
      </c>
      <c r="F2" s="27" t="s">
        <v>32</v>
      </c>
      <c r="G2" s="27" t="s">
        <v>33</v>
      </c>
      <c r="H2" s="27" t="s">
        <v>34</v>
      </c>
    </row>
    <row r="3" spans="1:8" x14ac:dyDescent="0.25">
      <c r="A3" s="29" t="s">
        <v>130</v>
      </c>
      <c r="B3" s="30" t="s">
        <v>131</v>
      </c>
      <c r="C3" s="30" t="s">
        <v>132</v>
      </c>
      <c r="D3" s="31">
        <v>499</v>
      </c>
      <c r="E3" s="32"/>
      <c r="F3" s="32" t="s">
        <v>52</v>
      </c>
      <c r="G3" s="31">
        <f>D3*E3</f>
        <v>0</v>
      </c>
      <c r="H3" s="33"/>
    </row>
    <row r="4" spans="1:8" x14ac:dyDescent="0.25">
      <c r="A4" s="64" t="s">
        <v>133</v>
      </c>
      <c r="B4" s="64"/>
      <c r="C4" s="64"/>
      <c r="D4" s="64"/>
      <c r="E4" s="64"/>
      <c r="F4" s="64"/>
      <c r="G4" s="34">
        <f>SUM(G3)</f>
        <v>0</v>
      </c>
      <c r="H4" s="35"/>
    </row>
    <row r="5" spans="1:8" x14ac:dyDescent="0.25">
      <c r="A5" s="36"/>
      <c r="B5" s="36"/>
      <c r="C5" s="36"/>
      <c r="D5" s="36"/>
      <c r="E5" s="36"/>
      <c r="F5" s="36"/>
      <c r="G5" s="36"/>
      <c r="H5" s="36"/>
    </row>
    <row r="6" spans="1:8" x14ac:dyDescent="0.25">
      <c r="A6" s="65" t="s">
        <v>26</v>
      </c>
      <c r="B6" s="65"/>
      <c r="C6" s="65"/>
      <c r="D6" s="65"/>
      <c r="E6" s="65"/>
      <c r="F6" s="65"/>
      <c r="G6" s="65"/>
      <c r="H6" s="65"/>
    </row>
    <row r="7" spans="1:8" ht="34.200000000000003" x14ac:dyDescent="0.25">
      <c r="A7" s="27" t="s">
        <v>27</v>
      </c>
      <c r="B7" s="27" t="s">
        <v>28</v>
      </c>
      <c r="C7" s="27" t="s">
        <v>29</v>
      </c>
      <c r="D7" s="28" t="s">
        <v>30</v>
      </c>
      <c r="E7" s="27" t="s">
        <v>31</v>
      </c>
      <c r="F7" s="27" t="s">
        <v>32</v>
      </c>
      <c r="G7" s="27" t="s">
        <v>33</v>
      </c>
      <c r="H7" s="27" t="s">
        <v>34</v>
      </c>
    </row>
    <row r="8" spans="1:8" ht="33" customHeight="1" x14ac:dyDescent="0.25">
      <c r="A8" s="37" t="s">
        <v>134</v>
      </c>
      <c r="B8" s="38" t="s">
        <v>135</v>
      </c>
      <c r="C8" s="38" t="s">
        <v>136</v>
      </c>
      <c r="D8" s="31">
        <v>700000</v>
      </c>
      <c r="E8" s="38">
        <v>1</v>
      </c>
      <c r="F8" s="38" t="s">
        <v>137</v>
      </c>
      <c r="G8" s="31">
        <f>D8*E8</f>
        <v>700000</v>
      </c>
      <c r="H8" s="38" t="s">
        <v>138</v>
      </c>
    </row>
    <row r="9" spans="1:8" ht="34.799999999999997" customHeight="1" x14ac:dyDescent="0.25">
      <c r="A9" s="37" t="s">
        <v>139</v>
      </c>
      <c r="B9" s="38" t="s">
        <v>140</v>
      </c>
      <c r="C9" s="38" t="s">
        <v>141</v>
      </c>
      <c r="D9" s="31">
        <v>100000</v>
      </c>
      <c r="E9" s="32">
        <v>3</v>
      </c>
      <c r="F9" s="39" t="s">
        <v>142</v>
      </c>
      <c r="G9" s="31">
        <f>D9*E9</f>
        <v>300000</v>
      </c>
      <c r="H9" s="38"/>
    </row>
    <row r="10" spans="1:8" x14ac:dyDescent="0.25">
      <c r="A10" s="64" t="s">
        <v>133</v>
      </c>
      <c r="B10" s="64"/>
      <c r="C10" s="64"/>
      <c r="D10" s="64"/>
      <c r="E10" s="64"/>
      <c r="F10" s="64"/>
      <c r="G10" s="40">
        <f>G8+G9</f>
        <v>1000000</v>
      </c>
      <c r="H10" s="35"/>
    </row>
  </sheetData>
  <mergeCells count="4">
    <mergeCell ref="A1:H1"/>
    <mergeCell ref="A4:F4"/>
    <mergeCell ref="A6:H6"/>
    <mergeCell ref="A10:F10"/>
  </mergeCells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56018-137D-47CC-8FB5-6F874106E332}">
  <sheetPr>
    <outlinePr summaryBelow="0" summaryRight="0"/>
  </sheetPr>
  <dimension ref="A1:G23"/>
  <sheetViews>
    <sheetView workbookViewId="0">
      <selection activeCell="D15" sqref="D15:G15"/>
    </sheetView>
  </sheetViews>
  <sheetFormatPr defaultColWidth="14" defaultRowHeight="13.2" x14ac:dyDescent="0.25"/>
  <cols>
    <col min="1" max="6" width="14" style="26" customWidth="1"/>
    <col min="7" max="7" width="77.6640625" style="26" customWidth="1"/>
    <col min="8" max="16384" width="14" style="26"/>
  </cols>
  <sheetData>
    <row r="1" spans="1:7" x14ac:dyDescent="0.25">
      <c r="A1" s="66" t="s">
        <v>59</v>
      </c>
      <c r="B1" s="66" t="s">
        <v>144</v>
      </c>
      <c r="C1" s="66" t="s">
        <v>61</v>
      </c>
      <c r="D1" s="66" t="s">
        <v>145</v>
      </c>
      <c r="E1" s="66"/>
      <c r="F1" s="66"/>
      <c r="G1" s="66"/>
    </row>
    <row r="2" spans="1:7" x14ac:dyDescent="0.25">
      <c r="A2" s="66"/>
      <c r="B2" s="66"/>
      <c r="C2" s="66"/>
      <c r="D2" s="66"/>
      <c r="E2" s="66"/>
      <c r="F2" s="66"/>
      <c r="G2" s="66"/>
    </row>
    <row r="3" spans="1:7" ht="23.4" customHeight="1" x14ac:dyDescent="0.25">
      <c r="A3" s="67" t="s">
        <v>146</v>
      </c>
      <c r="B3" s="67" t="s">
        <v>147</v>
      </c>
      <c r="C3" s="67" t="s">
        <v>148</v>
      </c>
      <c r="D3" s="68" t="s">
        <v>149</v>
      </c>
      <c r="E3" s="68"/>
      <c r="F3" s="68"/>
      <c r="G3" s="68"/>
    </row>
    <row r="4" spans="1:7" ht="20.399999999999999" customHeight="1" x14ac:dyDescent="0.25">
      <c r="A4" s="67"/>
      <c r="B4" s="67"/>
      <c r="C4" s="67"/>
      <c r="D4" s="68" t="s">
        <v>183</v>
      </c>
      <c r="E4" s="68"/>
      <c r="F4" s="68"/>
      <c r="G4" s="68"/>
    </row>
    <row r="5" spans="1:7" ht="19.2" customHeight="1" x14ac:dyDescent="0.25">
      <c r="A5" s="67"/>
      <c r="B5" s="67"/>
      <c r="C5" s="41" t="s">
        <v>150</v>
      </c>
      <c r="D5" s="68" t="s">
        <v>151</v>
      </c>
      <c r="E5" s="68"/>
      <c r="F5" s="68"/>
      <c r="G5" s="68"/>
    </row>
    <row r="6" spans="1:7" ht="19.2" customHeight="1" x14ac:dyDescent="0.25">
      <c r="A6" s="67"/>
      <c r="B6" s="67"/>
      <c r="C6" s="67" t="s">
        <v>152</v>
      </c>
      <c r="D6" s="68" t="s">
        <v>153</v>
      </c>
      <c r="E6" s="68"/>
      <c r="F6" s="68"/>
      <c r="G6" s="68"/>
    </row>
    <row r="7" spans="1:7" ht="19.8" customHeight="1" x14ac:dyDescent="0.25">
      <c r="A7" s="67"/>
      <c r="B7" s="67"/>
      <c r="C7" s="67"/>
      <c r="D7" s="68" t="s">
        <v>154</v>
      </c>
      <c r="E7" s="68"/>
      <c r="F7" s="68"/>
      <c r="G7" s="68"/>
    </row>
    <row r="8" spans="1:7" ht="33" customHeight="1" x14ac:dyDescent="0.25">
      <c r="A8" s="67"/>
      <c r="B8" s="67"/>
      <c r="C8" s="67"/>
      <c r="D8" s="68" t="s">
        <v>155</v>
      </c>
      <c r="E8" s="68"/>
      <c r="F8" s="68"/>
      <c r="G8" s="68"/>
    </row>
    <row r="9" spans="1:7" ht="28.8" customHeight="1" x14ac:dyDescent="0.25">
      <c r="A9" s="67"/>
      <c r="B9" s="67"/>
      <c r="C9" s="67"/>
      <c r="D9" s="68" t="s">
        <v>156</v>
      </c>
      <c r="E9" s="68"/>
      <c r="F9" s="68"/>
      <c r="G9" s="68"/>
    </row>
    <row r="10" spans="1:7" ht="25.8" customHeight="1" x14ac:dyDescent="0.25">
      <c r="A10" s="67"/>
      <c r="B10" s="67"/>
      <c r="C10" s="67"/>
      <c r="D10" s="68" t="s">
        <v>157</v>
      </c>
      <c r="E10" s="68"/>
      <c r="F10" s="68"/>
      <c r="G10" s="68"/>
    </row>
    <row r="11" spans="1:7" ht="22.2" customHeight="1" x14ac:dyDescent="0.25">
      <c r="A11" s="67"/>
      <c r="B11" s="67" t="s">
        <v>158</v>
      </c>
      <c r="C11" s="67" t="s">
        <v>159</v>
      </c>
      <c r="D11" s="68" t="s">
        <v>160</v>
      </c>
      <c r="E11" s="68"/>
      <c r="F11" s="68"/>
      <c r="G11" s="68"/>
    </row>
    <row r="12" spans="1:7" ht="32.4" customHeight="1" x14ac:dyDescent="0.25">
      <c r="A12" s="67"/>
      <c r="B12" s="67"/>
      <c r="C12" s="67"/>
      <c r="D12" s="68" t="s">
        <v>181</v>
      </c>
      <c r="E12" s="68"/>
      <c r="F12" s="68"/>
      <c r="G12" s="68"/>
    </row>
    <row r="13" spans="1:7" ht="21.6" customHeight="1" x14ac:dyDescent="0.25">
      <c r="A13" s="67"/>
      <c r="B13" s="67"/>
      <c r="C13" s="67"/>
      <c r="D13" s="68" t="s">
        <v>161</v>
      </c>
      <c r="E13" s="68"/>
      <c r="F13" s="68"/>
      <c r="G13" s="68"/>
    </row>
    <row r="14" spans="1:7" ht="28.8" customHeight="1" x14ac:dyDescent="0.25">
      <c r="A14" s="67"/>
      <c r="B14" s="67"/>
      <c r="C14" s="41" t="s">
        <v>162</v>
      </c>
      <c r="D14" s="68" t="s">
        <v>163</v>
      </c>
      <c r="E14" s="68"/>
      <c r="F14" s="68"/>
      <c r="G14" s="68"/>
    </row>
    <row r="15" spans="1:7" ht="19.8" customHeight="1" x14ac:dyDescent="0.25">
      <c r="A15" s="67"/>
      <c r="B15" s="67"/>
      <c r="C15" s="41" t="s">
        <v>164</v>
      </c>
      <c r="D15" s="68" t="s">
        <v>182</v>
      </c>
      <c r="E15" s="68"/>
      <c r="F15" s="68"/>
      <c r="G15" s="68"/>
    </row>
    <row r="16" spans="1:7" ht="28.8" customHeight="1" x14ac:dyDescent="0.25">
      <c r="A16" s="67"/>
      <c r="B16" s="67"/>
      <c r="C16" s="67" t="s">
        <v>165</v>
      </c>
      <c r="D16" s="68" t="s">
        <v>166</v>
      </c>
      <c r="E16" s="68"/>
      <c r="F16" s="68"/>
      <c r="G16" s="68"/>
    </row>
    <row r="17" spans="1:7" ht="24.6" customHeight="1" x14ac:dyDescent="0.25">
      <c r="A17" s="67"/>
      <c r="B17" s="67"/>
      <c r="C17" s="67"/>
      <c r="D17" s="69" t="s">
        <v>167</v>
      </c>
      <c r="E17" s="69"/>
      <c r="F17" s="69"/>
      <c r="G17" s="69"/>
    </row>
    <row r="18" spans="1:7" ht="22.8" customHeight="1" x14ac:dyDescent="0.25">
      <c r="A18" s="67"/>
      <c r="B18" s="67"/>
      <c r="C18" s="67"/>
      <c r="D18" s="68" t="s">
        <v>168</v>
      </c>
      <c r="E18" s="68"/>
      <c r="F18" s="68"/>
      <c r="G18" s="68"/>
    </row>
    <row r="19" spans="1:7" ht="23.4" customHeight="1" x14ac:dyDescent="0.25">
      <c r="A19" s="67"/>
      <c r="B19" s="67"/>
      <c r="C19" s="41" t="s">
        <v>169</v>
      </c>
      <c r="D19" s="69" t="s">
        <v>170</v>
      </c>
      <c r="E19" s="69"/>
      <c r="F19" s="69"/>
      <c r="G19" s="69"/>
    </row>
    <row r="20" spans="1:7" ht="19.2" customHeight="1" x14ac:dyDescent="0.25">
      <c r="A20" s="67"/>
      <c r="B20" s="41" t="s">
        <v>171</v>
      </c>
      <c r="C20" s="41" t="s">
        <v>172</v>
      </c>
      <c r="D20" s="68" t="s">
        <v>173</v>
      </c>
      <c r="E20" s="68"/>
      <c r="F20" s="68"/>
      <c r="G20" s="68"/>
    </row>
    <row r="21" spans="1:7" ht="19.2" customHeight="1" x14ac:dyDescent="0.25">
      <c r="A21" s="67"/>
      <c r="B21" s="67" t="s">
        <v>174</v>
      </c>
      <c r="C21" s="41" t="s">
        <v>175</v>
      </c>
      <c r="D21" s="68" t="s">
        <v>176</v>
      </c>
      <c r="E21" s="68"/>
      <c r="F21" s="68"/>
      <c r="G21" s="68"/>
    </row>
    <row r="22" spans="1:7" ht="21" customHeight="1" x14ac:dyDescent="0.25">
      <c r="A22" s="67"/>
      <c r="B22" s="67"/>
      <c r="C22" s="41" t="s">
        <v>177</v>
      </c>
      <c r="D22" s="68" t="s">
        <v>178</v>
      </c>
      <c r="E22" s="68"/>
      <c r="F22" s="68"/>
      <c r="G22" s="68"/>
    </row>
    <row r="23" spans="1:7" ht="22.8" customHeight="1" x14ac:dyDescent="0.25">
      <c r="A23" s="67"/>
      <c r="B23" s="67"/>
      <c r="C23" s="41" t="s">
        <v>179</v>
      </c>
      <c r="D23" s="68" t="s">
        <v>180</v>
      </c>
      <c r="E23" s="68"/>
      <c r="F23" s="68"/>
      <c r="G23" s="68"/>
    </row>
  </sheetData>
  <mergeCells count="33">
    <mergeCell ref="D16:G16"/>
    <mergeCell ref="D10:G10"/>
    <mergeCell ref="D18:G18"/>
    <mergeCell ref="D19:G19"/>
    <mergeCell ref="D20:G20"/>
    <mergeCell ref="B21:B23"/>
    <mergeCell ref="D21:G21"/>
    <mergeCell ref="D22:G22"/>
    <mergeCell ref="D23:G23"/>
    <mergeCell ref="B11:B19"/>
    <mergeCell ref="C11:C13"/>
    <mergeCell ref="D11:G11"/>
    <mergeCell ref="D12:G12"/>
    <mergeCell ref="D13:G13"/>
    <mergeCell ref="D14:G14"/>
    <mergeCell ref="D15:G15"/>
    <mergeCell ref="C16:C18"/>
    <mergeCell ref="A1:A2"/>
    <mergeCell ref="B1:B2"/>
    <mergeCell ref="C1:C2"/>
    <mergeCell ref="D1:G2"/>
    <mergeCell ref="A3:A23"/>
    <mergeCell ref="B3:B10"/>
    <mergeCell ref="C3:C4"/>
    <mergeCell ref="D3:G3"/>
    <mergeCell ref="D4:G4"/>
    <mergeCell ref="D5:G5"/>
    <mergeCell ref="D17:G17"/>
    <mergeCell ref="C6:C10"/>
    <mergeCell ref="D6:G6"/>
    <mergeCell ref="D7:G7"/>
    <mergeCell ref="D8:G8"/>
    <mergeCell ref="D9:G9"/>
  </mergeCells>
  <phoneticPr fontId="5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A66FF500996874C82AFAD94F0CB466D" ma:contentTypeVersion="10" ma:contentTypeDescription="新建文档。" ma:contentTypeScope="" ma:versionID="11da4902fd18a0eeaa67f7ee45a61630">
  <xsd:schema xmlns:xsd="http://www.w3.org/2001/XMLSchema" xmlns:xs="http://www.w3.org/2001/XMLSchema" xmlns:p="http://schemas.microsoft.com/office/2006/metadata/properties" xmlns:ns2="9ffabd7d-913c-432f-a1eb-ed33e5c6c563" xmlns:ns3="ef81c41e-a06f-46d8-8485-cbecbef2903d" targetNamespace="http://schemas.microsoft.com/office/2006/metadata/properties" ma:root="true" ma:fieldsID="860285901841ed312e4e494ff3d5f2d2" ns2:_="" ns3:_="">
    <xsd:import namespace="9ffabd7d-913c-432f-a1eb-ed33e5c6c563"/>
    <xsd:import namespace="ef81c41e-a06f-46d8-8485-cbecbef290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fabd7d-913c-432f-a1eb-ed33e5c6c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图像标记" ma:readOnly="false" ma:fieldId="{5cf76f15-5ced-4ddc-b409-7134ff3c332f}" ma:taxonomyMulti="true" ma:sspId="37839dc8-c537-42b6-a5a9-a537040d25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1c41e-a06f-46d8-8485-cbecbef2903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a1a83bc-7c1e-4379-8ea8-88ae1b45b599}" ma:internalName="TaxCatchAll" ma:showField="CatchAllData" ma:web="ef81c41e-a06f-46d8-8485-cbecbef290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fabd7d-913c-432f-a1eb-ed33e5c6c563">
      <Terms xmlns="http://schemas.microsoft.com/office/infopath/2007/PartnerControls"/>
    </lcf76f155ced4ddcb4097134ff3c332f>
    <TaxCatchAll xmlns="ef81c41e-a06f-46d8-8485-cbecbef2903d" xsi:nil="true"/>
  </documentManagement>
</p:properties>
</file>

<file path=customXml/itemProps1.xml><?xml version="1.0" encoding="utf-8"?>
<ds:datastoreItem xmlns:ds="http://schemas.openxmlformats.org/officeDocument/2006/customXml" ds:itemID="{B9765B85-7223-4B2C-997F-BF49E1365078}"/>
</file>

<file path=customXml/itemProps2.xml><?xml version="1.0" encoding="utf-8"?>
<ds:datastoreItem xmlns:ds="http://schemas.openxmlformats.org/officeDocument/2006/customXml" ds:itemID="{D68F0CFB-C7A5-4FD7-9F6C-871E1F1C8C6C}"/>
</file>

<file path=customXml/itemProps3.xml><?xml version="1.0" encoding="utf-8"?>
<ds:datastoreItem xmlns:ds="http://schemas.openxmlformats.org/officeDocument/2006/customXml" ds:itemID="{6355CB15-81E4-46D9-8E6C-3229260C637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SpaceSight 门店设备</vt:lpstr>
      <vt:lpstr>SpaceSight 软件</vt:lpstr>
      <vt:lpstr>SpaceSight AI检测模块</vt:lpstr>
      <vt:lpstr>SaaS on cloud</vt:lpstr>
      <vt:lpstr>Echo软硬件</vt:lpstr>
      <vt:lpstr>Echo音频质检功能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Tai</dc:creator>
  <cp:lastModifiedBy>Huang, Tai</cp:lastModifiedBy>
  <dcterms:created xsi:type="dcterms:W3CDTF">2026-01-09T06:39:36Z</dcterms:created>
  <dcterms:modified xsi:type="dcterms:W3CDTF">2026-01-12T03:53:54Z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53E0752093A34F148DA6C7BD84B41CD8_12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  <property fmtid="{D5CDD505-2E9C-101B-9397-08002B2CF9AE}" pid="5" name="MSIP_Label_19e68092-05df-4271-8e3e-b2a4c82ba797_Enabled">
    <vt:lpwstr>true</vt:lpwstr>
  </property>
  <property fmtid="{D5CDD505-2E9C-101B-9397-08002B2CF9AE}" pid="6" name="MSIP_Label_19e68092-05df-4271-8e3e-b2a4c82ba797_SetDate">
    <vt:lpwstr>2026-01-11T12:43:35Z</vt:lpwstr>
  </property>
  <property fmtid="{D5CDD505-2E9C-101B-9397-08002B2CF9AE}" pid="7" name="MSIP_Label_19e68092-05df-4271-8e3e-b2a4c82ba797_Method">
    <vt:lpwstr>Standard</vt:lpwstr>
  </property>
  <property fmtid="{D5CDD505-2E9C-101B-9397-08002B2CF9AE}" pid="8" name="MSIP_Label_19e68092-05df-4271-8e3e-b2a4c82ba797_Name">
    <vt:lpwstr>Amazon Confidential</vt:lpwstr>
  </property>
  <property fmtid="{D5CDD505-2E9C-101B-9397-08002B2CF9AE}" pid="9" name="MSIP_Label_19e68092-05df-4271-8e3e-b2a4c82ba797_SiteId">
    <vt:lpwstr>5280104a-472d-4538-9ccf-1e1d0efe8b1b</vt:lpwstr>
  </property>
  <property fmtid="{D5CDD505-2E9C-101B-9397-08002B2CF9AE}" pid="10" name="MSIP_Label_19e68092-05df-4271-8e3e-b2a4c82ba797_ActionId">
    <vt:lpwstr>8ca7db20-ef8c-4736-89ea-c767b2caaf2f</vt:lpwstr>
  </property>
  <property fmtid="{D5CDD505-2E9C-101B-9397-08002B2CF9AE}" pid="11" name="MSIP_Label_19e68092-05df-4271-8e3e-b2a4c82ba797_ContentBits">
    <vt:lpwstr>0</vt:lpwstr>
  </property>
  <property fmtid="{D5CDD505-2E9C-101B-9397-08002B2CF9AE}" pid="12" name="MSIP_Label_19e68092-05df-4271-8e3e-b2a4c82ba797_Tag">
    <vt:lpwstr>10, 3, 0, 1</vt:lpwstr>
  </property>
  <property fmtid="{D5CDD505-2E9C-101B-9397-08002B2CF9AE}" pid="13" name="ContentTypeId">
    <vt:lpwstr>0x0101007A66FF500996874C82AFAD94F0CB466D</vt:lpwstr>
  </property>
</Properties>
</file>