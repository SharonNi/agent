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mayimin\Desktop\Fruitstand Desktop\Rall Desktop\iCloud China Pricing Program\"/>
    </mc:Choice>
  </mc:AlternateContent>
  <xr:revisionPtr revIDLastSave="0" documentId="13_ncr:1_{5E1CB8E7-C77E-42B1-8BF4-B76FD39ED42A}" xr6:coauthVersionLast="47" xr6:coauthVersionMax="47" xr10:uidLastSave="{00000000-0000-0000-0000-000000000000}"/>
  <bookViews>
    <workbookView xWindow="-108" yWindow="-108" windowWidth="23256" windowHeight="12576" activeTab="2" xr2:uid="{C791872D-14D9-1C43-9C0D-8ED4A388A104}"/>
  </bookViews>
  <sheets>
    <sheet name="Instructions" sheetId="7" r:id="rId1"/>
    <sheet name="Data Ramp Plan" sheetId="9" r:id="rId2"/>
    <sheet name="Pricing Optimization Proposal" sheetId="11" r:id="rId3"/>
    <sheet name="Assumption" sheetId="10" r:id="rId4"/>
    <sheet name="Deal Model Inputs (2)" sheetId="5" state="hidden" r:id="rId5"/>
    <sheet name="Discount Ask" sheetId="6" state="hidden" r:id="rId6"/>
    <sheet name="Deal Inputs" sheetId="1" r:id="rId7"/>
    <sheet name="Business Justification" sheetId="8" r:id="rId8"/>
    <sheet name="Additional Details" sheetId="4" r:id="rId9"/>
    <sheet name="Dropdown inputs" sheetId="2" state="hidden"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7" i="11" l="1"/>
  <c r="B19" i="11" s="1"/>
  <c r="B20" i="11" s="1"/>
  <c r="B21" i="11" s="1"/>
  <c r="C16" i="11"/>
  <c r="C15" i="11"/>
  <c r="B15" i="11"/>
  <c r="C17" i="11"/>
  <c r="B16" i="11"/>
  <c r="B12" i="11"/>
  <c r="B13" i="11"/>
  <c r="B11" i="11"/>
  <c r="B10" i="11"/>
  <c r="I44" i="9"/>
  <c r="I43" i="9"/>
  <c r="I45" i="9" s="1"/>
  <c r="I46" i="9"/>
  <c r="E7" i="10"/>
  <c r="E6" i="10"/>
  <c r="G51" i="10"/>
  <c r="H25" i="10"/>
  <c r="G25" i="10"/>
  <c r="F25" i="10"/>
  <c r="E25" i="10"/>
  <c r="D25" i="10"/>
  <c r="H24" i="10"/>
  <c r="F24" i="10"/>
  <c r="E24" i="10"/>
  <c r="D24" i="10"/>
  <c r="H23" i="10"/>
  <c r="G23" i="10"/>
  <c r="F23" i="10"/>
  <c r="E23" i="10"/>
  <c r="D23" i="10"/>
  <c r="H22" i="10"/>
  <c r="F22" i="10"/>
  <c r="E22" i="10"/>
  <c r="D22" i="10"/>
  <c r="G39" i="10" l="1"/>
  <c r="F42" i="1"/>
  <c r="F41" i="1"/>
  <c r="B42" i="1"/>
  <c r="B41" i="1"/>
  <c r="B64" i="1"/>
  <c r="H28" i="10" l="1"/>
  <c r="H32" i="10" s="1"/>
  <c r="G28" i="10"/>
  <c r="G33" i="10" s="1"/>
  <c r="F28" i="10"/>
  <c r="F33" i="10" s="1"/>
  <c r="E28" i="10"/>
  <c r="E32" i="10" s="1"/>
  <c r="E30" i="10"/>
  <c r="F32" i="10"/>
  <c r="G31" i="10"/>
  <c r="F31" i="10"/>
  <c r="E31" i="10"/>
  <c r="G44" i="10"/>
  <c r="F30" i="10"/>
  <c r="H31" i="10"/>
  <c r="H30" i="10"/>
  <c r="D33" i="10"/>
  <c r="D47" i="10" s="1"/>
  <c r="D32" i="10"/>
  <c r="D46" i="10" s="1"/>
  <c r="D31" i="10"/>
  <c r="D45" i="10" s="1"/>
  <c r="D30" i="10"/>
  <c r="D44" i="10" s="1"/>
  <c r="B62" i="1"/>
  <c r="B61" i="1"/>
  <c r="F58" i="1"/>
  <c r="F59" i="1" s="1"/>
  <c r="B58" i="1"/>
  <c r="B59" i="1" s="1"/>
  <c r="G42" i="1"/>
  <c r="C42" i="1"/>
  <c r="F55" i="1"/>
  <c r="B55" i="1"/>
  <c r="B56" i="1" s="1"/>
  <c r="J6" i="9"/>
  <c r="K6" i="9"/>
  <c r="L6" i="9"/>
  <c r="M6" i="9"/>
  <c r="N6" i="9"/>
  <c r="O6" i="9"/>
  <c r="P6" i="9"/>
  <c r="Q6" i="9"/>
  <c r="R6" i="9"/>
  <c r="S6" i="9"/>
  <c r="T6" i="9"/>
  <c r="U6" i="9"/>
  <c r="V6" i="9"/>
  <c r="W6" i="9"/>
  <c r="X6" i="9"/>
  <c r="Y6" i="9"/>
  <c r="Z6" i="9"/>
  <c r="AA6" i="9"/>
  <c r="AB6" i="9"/>
  <c r="AC6" i="9"/>
  <c r="AD6" i="9"/>
  <c r="AE6" i="9"/>
  <c r="AF6" i="9"/>
  <c r="AG6" i="9"/>
  <c r="AH6" i="9"/>
  <c r="AI6" i="9"/>
  <c r="AJ6" i="9"/>
  <c r="AK6" i="9"/>
  <c r="AL6" i="9"/>
  <c r="AM6" i="9"/>
  <c r="J7" i="9"/>
  <c r="K7" i="9"/>
  <c r="L7" i="9"/>
  <c r="M7" i="9"/>
  <c r="N7" i="9"/>
  <c r="O7" i="9"/>
  <c r="P7" i="9"/>
  <c r="Q7" i="9"/>
  <c r="R7" i="9"/>
  <c r="S7" i="9"/>
  <c r="T7" i="9"/>
  <c r="U7" i="9"/>
  <c r="V7" i="9"/>
  <c r="W7" i="9"/>
  <c r="X7" i="9"/>
  <c r="Y7" i="9"/>
  <c r="Z7" i="9"/>
  <c r="AA7" i="9"/>
  <c r="AB7" i="9"/>
  <c r="AC7" i="9"/>
  <c r="AD7" i="9"/>
  <c r="AE7" i="9"/>
  <c r="AF7" i="9"/>
  <c r="AG7" i="9"/>
  <c r="AH7" i="9"/>
  <c r="AI7" i="9"/>
  <c r="AJ7" i="9"/>
  <c r="AK7" i="9"/>
  <c r="AL7" i="9"/>
  <c r="AM7" i="9"/>
  <c r="E6" i="9"/>
  <c r="F6" i="9"/>
  <c r="G6" i="9"/>
  <c r="H6" i="9"/>
  <c r="I6" i="9"/>
  <c r="E7" i="9"/>
  <c r="F7" i="9"/>
  <c r="G7" i="9"/>
  <c r="H7" i="9"/>
  <c r="I7" i="9"/>
  <c r="D7" i="9"/>
  <c r="D6" i="9"/>
  <c r="F25" i="9" l="1"/>
  <c r="F22" i="9" s="1"/>
  <c r="G25" i="9"/>
  <c r="D25" i="9"/>
  <c r="G13" i="9"/>
  <c r="G14" i="9" s="1"/>
  <c r="D13" i="9"/>
  <c r="D14" i="9" s="1"/>
  <c r="I25" i="9"/>
  <c r="I26" i="9" s="1"/>
  <c r="I31" i="9" s="1"/>
  <c r="F13" i="9"/>
  <c r="F14" i="9" s="1"/>
  <c r="H25" i="9"/>
  <c r="H22" i="9" s="1"/>
  <c r="H27" i="9" s="1"/>
  <c r="H13" i="9"/>
  <c r="H11" i="9" s="1"/>
  <c r="J11" i="9"/>
  <c r="J12" i="9"/>
  <c r="G11" i="9"/>
  <c r="D22" i="9"/>
  <c r="D27" i="9" s="1"/>
  <c r="D26" i="9"/>
  <c r="D31" i="9" s="1"/>
  <c r="E13" i="9"/>
  <c r="G22" i="9"/>
  <c r="G27" i="9" s="1"/>
  <c r="G26" i="9"/>
  <c r="G31" i="9" s="1"/>
  <c r="E25" i="9"/>
  <c r="I13" i="9"/>
  <c r="C53" i="10"/>
  <c r="J13" i="9"/>
  <c r="J25" i="9" s="1"/>
  <c r="Q11" i="9"/>
  <c r="Q22" i="9" s="1"/>
  <c r="AE11" i="9"/>
  <c r="AE22" i="9" s="1"/>
  <c r="V12" i="9"/>
  <c r="V23" i="9" s="1"/>
  <c r="V24" i="9" s="1"/>
  <c r="M13" i="9"/>
  <c r="AA13" i="9"/>
  <c r="R11" i="9"/>
  <c r="R22" i="9" s="1"/>
  <c r="AF11" i="9"/>
  <c r="AF22" i="9" s="1"/>
  <c r="W12" i="9"/>
  <c r="W23" i="9" s="1"/>
  <c r="W24" i="9" s="1"/>
  <c r="N13" i="9"/>
  <c r="AB13" i="9"/>
  <c r="S11" i="9"/>
  <c r="S22" i="9" s="1"/>
  <c r="AG11" i="9"/>
  <c r="AG22" i="9" s="1"/>
  <c r="X12" i="9"/>
  <c r="X23" i="9" s="1"/>
  <c r="X24" i="9" s="1"/>
  <c r="O13" i="9"/>
  <c r="AC13" i="9"/>
  <c r="T11" i="9"/>
  <c r="T22" i="9" s="1"/>
  <c r="K12" i="9"/>
  <c r="K23" i="9" s="1"/>
  <c r="Y12" i="9"/>
  <c r="Y23" i="9" s="1"/>
  <c r="Y24" i="9" s="1"/>
  <c r="P13" i="9"/>
  <c r="AD13" i="9"/>
  <c r="U11" i="9"/>
  <c r="U22" i="9" s="1"/>
  <c r="L12" i="9"/>
  <c r="L23" i="9" s="1"/>
  <c r="L24" i="9" s="1"/>
  <c r="Z12" i="9"/>
  <c r="Z23" i="9" s="1"/>
  <c r="Z24" i="9" s="1"/>
  <c r="Q13" i="9"/>
  <c r="AE13" i="9"/>
  <c r="V11" i="9"/>
  <c r="V22" i="9" s="1"/>
  <c r="M12" i="9"/>
  <c r="M23" i="9" s="1"/>
  <c r="M24" i="9" s="1"/>
  <c r="AA12" i="9"/>
  <c r="AA23" i="9" s="1"/>
  <c r="AA24" i="9" s="1"/>
  <c r="R13" i="9"/>
  <c r="AF13" i="9"/>
  <c r="W11" i="9"/>
  <c r="W22" i="9" s="1"/>
  <c r="N12" i="9"/>
  <c r="N23" i="9" s="1"/>
  <c r="N24" i="9" s="1"/>
  <c r="AB12" i="9"/>
  <c r="AB23" i="9" s="1"/>
  <c r="AB24" i="9" s="1"/>
  <c r="S13" i="9"/>
  <c r="AG13" i="9"/>
  <c r="X11" i="9"/>
  <c r="X22" i="9" s="1"/>
  <c r="O12" i="9"/>
  <c r="O23" i="9" s="1"/>
  <c r="O24" i="9" s="1"/>
  <c r="P11" i="9"/>
  <c r="P22" i="9" s="1"/>
  <c r="AD12" i="9"/>
  <c r="AD23" i="9" s="1"/>
  <c r="AD24" i="9" s="1"/>
  <c r="Q12" i="9"/>
  <c r="Q23" i="9" s="1"/>
  <c r="Q24" i="9" s="1"/>
  <c r="N11" i="9"/>
  <c r="N22" i="9" s="1"/>
  <c r="Y11" i="9"/>
  <c r="Y22" i="9" s="1"/>
  <c r="AE12" i="9"/>
  <c r="AE23" i="9" s="1"/>
  <c r="AE24" i="9" s="1"/>
  <c r="S12" i="9"/>
  <c r="S23" i="9" s="1"/>
  <c r="S24" i="9" s="1"/>
  <c r="AC12" i="9"/>
  <c r="AC23" i="9" s="1"/>
  <c r="AC24" i="9" s="1"/>
  <c r="Z11" i="9"/>
  <c r="Z22" i="9" s="1"/>
  <c r="AF12" i="9"/>
  <c r="AF23" i="9" s="1"/>
  <c r="AF24" i="9" s="1"/>
  <c r="V13" i="9"/>
  <c r="X13" i="9"/>
  <c r="AA11" i="9"/>
  <c r="AA22" i="9" s="1"/>
  <c r="AG12" i="9"/>
  <c r="AG23" i="9" s="1"/>
  <c r="AG24" i="9" s="1"/>
  <c r="M11" i="9"/>
  <c r="M22" i="9" s="1"/>
  <c r="AB11" i="9"/>
  <c r="AB22" i="9" s="1"/>
  <c r="K13" i="9"/>
  <c r="L11" i="9"/>
  <c r="L22" i="9" s="1"/>
  <c r="AC11" i="9"/>
  <c r="AC22" i="9" s="1"/>
  <c r="L13" i="9"/>
  <c r="K11" i="9"/>
  <c r="T12" i="9"/>
  <c r="T23" i="9" s="1"/>
  <c r="T24" i="9" s="1"/>
  <c r="O11" i="9"/>
  <c r="O22" i="9" s="1"/>
  <c r="AD11" i="9"/>
  <c r="AD22" i="9" s="1"/>
  <c r="T13" i="9"/>
  <c r="R12" i="9"/>
  <c r="R23" i="9" s="1"/>
  <c r="R24" i="9" s="1"/>
  <c r="Y13" i="9"/>
  <c r="P12" i="9"/>
  <c r="P23" i="9" s="1"/>
  <c r="P24" i="9" s="1"/>
  <c r="U13" i="9"/>
  <c r="W13" i="9"/>
  <c r="Z13" i="9"/>
  <c r="U12" i="9"/>
  <c r="U23" i="9" s="1"/>
  <c r="U24" i="9" s="1"/>
  <c r="C51" i="10"/>
  <c r="G46" i="10"/>
  <c r="E33" i="10"/>
  <c r="H33" i="10"/>
  <c r="F27" i="9" l="1"/>
  <c r="F26" i="9"/>
  <c r="F31" i="9" s="1"/>
  <c r="K24" i="9"/>
  <c r="D11" i="9"/>
  <c r="G15" i="9"/>
  <c r="I22" i="9"/>
  <c r="K22" i="9"/>
  <c r="H15" i="9"/>
  <c r="F11" i="9"/>
  <c r="H26" i="9"/>
  <c r="H14" i="9"/>
  <c r="H17" i="9" s="1"/>
  <c r="J16" i="9"/>
  <c r="J15" i="9"/>
  <c r="D29" i="9"/>
  <c r="D23" i="9"/>
  <c r="D28" i="9" s="1"/>
  <c r="D24" i="9"/>
  <c r="I11" i="9"/>
  <c r="I14" i="9"/>
  <c r="E22" i="9"/>
  <c r="E26" i="9"/>
  <c r="E31" i="9" s="1"/>
  <c r="G12" i="9"/>
  <c r="G16" i="9" s="1"/>
  <c r="G17" i="9"/>
  <c r="G24" i="9"/>
  <c r="G29" i="9"/>
  <c r="G23" i="9"/>
  <c r="D17" i="9"/>
  <c r="D12" i="9"/>
  <c r="D16" i="9" s="1"/>
  <c r="F12" i="9"/>
  <c r="F16" i="9" s="1"/>
  <c r="F17" i="9"/>
  <c r="F29" i="9"/>
  <c r="F24" i="9"/>
  <c r="F23" i="9"/>
  <c r="E14" i="9"/>
  <c r="E11" i="9"/>
  <c r="I23" i="9"/>
  <c r="I24" i="9"/>
  <c r="I29" i="9"/>
  <c r="U25" i="9"/>
  <c r="U14" i="9"/>
  <c r="U26" i="9" s="1"/>
  <c r="J22" i="9"/>
  <c r="E37" i="10"/>
  <c r="J23" i="9"/>
  <c r="F37" i="10"/>
  <c r="V14" i="9"/>
  <c r="V26" i="9" s="1"/>
  <c r="V25" i="9"/>
  <c r="S25" i="9"/>
  <c r="S14" i="9"/>
  <c r="S26" i="9" s="1"/>
  <c r="AD14" i="9"/>
  <c r="AD26" i="9" s="1"/>
  <c r="AD25" i="9"/>
  <c r="T25" i="9"/>
  <c r="T14" i="9"/>
  <c r="T26" i="9" s="1"/>
  <c r="P14" i="9"/>
  <c r="P26" i="9" s="1"/>
  <c r="P25" i="9"/>
  <c r="AA14" i="9"/>
  <c r="AA26" i="9" s="1"/>
  <c r="AA25" i="9"/>
  <c r="AB14" i="9"/>
  <c r="AB26" i="9" s="1"/>
  <c r="AB25" i="9"/>
  <c r="M25" i="9"/>
  <c r="M14" i="9"/>
  <c r="M26" i="9" s="1"/>
  <c r="AE14" i="9"/>
  <c r="AE26" i="9" s="1"/>
  <c r="AE25" i="9"/>
  <c r="Q14" i="9"/>
  <c r="Q26" i="9" s="1"/>
  <c r="Q25" i="9"/>
  <c r="X25" i="9"/>
  <c r="X14" i="9"/>
  <c r="X26" i="9" s="1"/>
  <c r="AG25" i="9"/>
  <c r="AG14" i="9"/>
  <c r="AG26" i="9" s="1"/>
  <c r="AF14" i="9"/>
  <c r="AF26" i="9" s="1"/>
  <c r="AF25" i="9"/>
  <c r="W14" i="9"/>
  <c r="W26" i="9" s="1"/>
  <c r="W25" i="9"/>
  <c r="R14" i="9"/>
  <c r="R26" i="9" s="1"/>
  <c r="R25" i="9"/>
  <c r="AC14" i="9"/>
  <c r="AC26" i="9" s="1"/>
  <c r="AC25" i="9"/>
  <c r="Y14" i="9"/>
  <c r="Y26" i="9" s="1"/>
  <c r="Y25" i="9"/>
  <c r="N14" i="9"/>
  <c r="N26" i="9" s="1"/>
  <c r="N25" i="9"/>
  <c r="L25" i="9"/>
  <c r="L14" i="9"/>
  <c r="L26" i="9" s="1"/>
  <c r="Z14" i="9"/>
  <c r="Z26" i="9" s="1"/>
  <c r="Z25" i="9"/>
  <c r="K25" i="9"/>
  <c r="K14" i="9"/>
  <c r="O14" i="9"/>
  <c r="O26" i="9" s="1"/>
  <c r="O25" i="9"/>
  <c r="J14" i="9"/>
  <c r="J19" i="9" s="1"/>
  <c r="G30" i="9" l="1"/>
  <c r="F30" i="9"/>
  <c r="H29" i="9"/>
  <c r="H31" i="9"/>
  <c r="I48" i="9"/>
  <c r="L12" i="4" s="1"/>
  <c r="D30" i="9"/>
  <c r="I27" i="9"/>
  <c r="I30" i="9"/>
  <c r="E27" i="9"/>
  <c r="J18" i="9"/>
  <c r="G19" i="9"/>
  <c r="G34" i="9" s="1"/>
  <c r="H23" i="9"/>
  <c r="H24" i="9"/>
  <c r="G28" i="9"/>
  <c r="I15" i="9"/>
  <c r="F15" i="9"/>
  <c r="F19" i="9"/>
  <c r="F34" i="9" s="1"/>
  <c r="F18" i="9"/>
  <c r="F33" i="9" s="1"/>
  <c r="F36" i="9" s="1"/>
  <c r="F37" i="9" s="1"/>
  <c r="K26" i="9"/>
  <c r="K31" i="9" s="1"/>
  <c r="K18" i="9"/>
  <c r="I28" i="9"/>
  <c r="D15" i="9"/>
  <c r="D19" i="9"/>
  <c r="D34" i="9" s="1"/>
  <c r="D18" i="9"/>
  <c r="J24" i="9"/>
  <c r="E15" i="9"/>
  <c r="K19" i="9"/>
  <c r="K34" i="9" s="1"/>
  <c r="H28" i="9"/>
  <c r="F28" i="9"/>
  <c r="G18" i="9"/>
  <c r="G33" i="9" s="1"/>
  <c r="H12" i="9"/>
  <c r="J26" i="9"/>
  <c r="J29" i="9" s="1"/>
  <c r="I51" i="9"/>
  <c r="L9" i="4" s="1"/>
  <c r="J17" i="9"/>
  <c r="I49" i="9"/>
  <c r="L13" i="4" s="1"/>
  <c r="E23" i="9"/>
  <c r="E29" i="9"/>
  <c r="E24" i="9"/>
  <c r="E17" i="9"/>
  <c r="E12" i="9"/>
  <c r="E16" i="9" s="1"/>
  <c r="J28" i="9"/>
  <c r="I12" i="9"/>
  <c r="I16" i="9" s="1"/>
  <c r="I17" i="9"/>
  <c r="E38" i="10"/>
  <c r="E45" i="10" s="1"/>
  <c r="J27" i="9"/>
  <c r="F39" i="10"/>
  <c r="F46" i="10" s="1"/>
  <c r="F44" i="10"/>
  <c r="F38" i="10"/>
  <c r="H37" i="10"/>
  <c r="E39" i="10"/>
  <c r="E46" i="10" s="1"/>
  <c r="E44" i="10"/>
  <c r="K30" i="9" l="1"/>
  <c r="J30" i="9"/>
  <c r="G35" i="9"/>
  <c r="G38" i="9" s="1"/>
  <c r="G39" i="9" s="1"/>
  <c r="G36" i="9"/>
  <c r="G37" i="9" s="1"/>
  <c r="E30" i="9"/>
  <c r="F35" i="9"/>
  <c r="F38" i="9" s="1"/>
  <c r="F39" i="9" s="1"/>
  <c r="K33" i="9"/>
  <c r="H30" i="9"/>
  <c r="J33" i="9"/>
  <c r="J36" i="9" s="1"/>
  <c r="J37" i="9" s="1"/>
  <c r="I50" i="9"/>
  <c r="L8" i="4" s="1"/>
  <c r="J31" i="9"/>
  <c r="J34" i="9" s="1"/>
  <c r="D33" i="9"/>
  <c r="I18" i="9"/>
  <c r="I33" i="9" s="1"/>
  <c r="I36" i="9" s="1"/>
  <c r="I37" i="9" s="1"/>
  <c r="E19" i="9"/>
  <c r="E34" i="9" s="1"/>
  <c r="I42" i="9" s="1"/>
  <c r="E18" i="9"/>
  <c r="E33" i="9" s="1"/>
  <c r="I19" i="9"/>
  <c r="I34" i="9" s="1"/>
  <c r="E28" i="9"/>
  <c r="H16" i="9"/>
  <c r="H18" i="9"/>
  <c r="H19" i="9"/>
  <c r="H34" i="9" s="1"/>
  <c r="E40" i="10"/>
  <c r="E47" i="10" s="1"/>
  <c r="G38" i="10"/>
  <c r="G40" i="10" s="1"/>
  <c r="G47" i="10" s="1"/>
  <c r="H38" i="10"/>
  <c r="H45" i="10" s="1"/>
  <c r="H39" i="10"/>
  <c r="H46" i="10" s="1"/>
  <c r="H44" i="10"/>
  <c r="F40" i="10"/>
  <c r="F47" i="10" s="1"/>
  <c r="F45" i="10"/>
  <c r="E35" i="9" l="1"/>
  <c r="E38" i="9" s="1"/>
  <c r="E39" i="9" s="1"/>
  <c r="E36" i="9"/>
  <c r="E37" i="9" s="1"/>
  <c r="K35" i="9"/>
  <c r="K38" i="9" s="1"/>
  <c r="K39" i="9" s="1"/>
  <c r="K36" i="9"/>
  <c r="K37" i="9" s="1"/>
  <c r="D35" i="9"/>
  <c r="D36" i="9"/>
  <c r="D37" i="9" s="1"/>
  <c r="H33" i="9"/>
  <c r="H36" i="9" s="1"/>
  <c r="H37" i="9" s="1"/>
  <c r="J35" i="9"/>
  <c r="J38" i="9" s="1"/>
  <c r="J39" i="9" s="1"/>
  <c r="I35" i="9"/>
  <c r="I38" i="9" s="1"/>
  <c r="I39" i="9" s="1"/>
  <c r="G45" i="10"/>
  <c r="D51" i="10"/>
  <c r="D53" i="10"/>
  <c r="H40" i="10"/>
  <c r="H47" i="10" s="1"/>
  <c r="E53" i="10" s="1"/>
  <c r="E51" i="10"/>
  <c r="H35" i="9" l="1"/>
  <c r="H38" i="9" s="1"/>
  <c r="H39" i="9" s="1"/>
  <c r="I41" i="9"/>
  <c r="D38" i="9"/>
  <c r="D39" i="9" s="1"/>
  <c r="F53" i="10"/>
  <c r="F54" i="10" s="1"/>
  <c r="F51" i="10"/>
  <c r="E52" i="10" s="1"/>
  <c r="E54" i="10" l="1"/>
  <c r="D52" i="10"/>
  <c r="C52" i="10"/>
  <c r="F52" i="10"/>
  <c r="D54" i="10"/>
  <c r="C54" i="10"/>
</calcChain>
</file>

<file path=xl/sharedStrings.xml><?xml version="1.0" encoding="utf-8"?>
<sst xmlns="http://schemas.openxmlformats.org/spreadsheetml/2006/main" count="1050" uniqueCount="389">
  <si>
    <t>S3/Glacier Approval Intake Template</t>
  </si>
  <si>
    <t>ZIA</t>
  </si>
  <si>
    <t>INT</t>
  </si>
  <si>
    <t>Regions:</t>
  </si>
  <si>
    <t>Class</t>
  </si>
  <si>
    <t>Regions</t>
  </si>
  <si>
    <t>IAD</t>
  </si>
  <si>
    <t>DUB</t>
  </si>
  <si>
    <t>SFO</t>
  </si>
  <si>
    <t>SIN</t>
  </si>
  <si>
    <t>NRT</t>
  </si>
  <si>
    <t>PDT</t>
  </si>
  <si>
    <t>PDX</t>
  </si>
  <si>
    <t>GRU</t>
  </si>
  <si>
    <t>SYD</t>
  </si>
  <si>
    <t>BJS</t>
  </si>
  <si>
    <t>DCA</t>
  </si>
  <si>
    <t>FRA</t>
  </si>
  <si>
    <t>ICN</t>
  </si>
  <si>
    <t>BOM</t>
  </si>
  <si>
    <t>CMH</t>
  </si>
  <si>
    <t>YUL</t>
  </si>
  <si>
    <t>LHR</t>
  </si>
  <si>
    <t>LCK</t>
  </si>
  <si>
    <t>ZHY</t>
  </si>
  <si>
    <t>CDG</t>
  </si>
  <si>
    <t>KIX</t>
  </si>
  <si>
    <t>OSU</t>
  </si>
  <si>
    <t>ARN</t>
  </si>
  <si>
    <t>HKG</t>
  </si>
  <si>
    <t>BAH</t>
  </si>
  <si>
    <t>CPT</t>
  </si>
  <si>
    <t>APA</t>
  </si>
  <si>
    <t>ZAZ</t>
  </si>
  <si>
    <t>CGK</t>
  </si>
  <si>
    <t>select</t>
  </si>
  <si>
    <t>YES</t>
  </si>
  <si>
    <t>NO</t>
  </si>
  <si>
    <t>M</t>
  </si>
  <si>
    <t>Discount</t>
  </si>
  <si>
    <t>Input here in %</t>
  </si>
  <si>
    <t>Instructions</t>
  </si>
  <si>
    <t>REGIONS AND STORAGE</t>
  </si>
  <si>
    <t>STD/INT FA</t>
  </si>
  <si>
    <t>SIA/INT IA</t>
  </si>
  <si>
    <t>Glacier/INT AA</t>
  </si>
  <si>
    <t>Glacier Deep Archive/INT DAA</t>
  </si>
  <si>
    <t>Input here</t>
  </si>
  <si>
    <t>EC2 -&gt; S3 / GB stored on a monthly basis</t>
  </si>
  <si>
    <t>S3 -&gt; EC2 / GB stored on a monthly basis</t>
  </si>
  <si>
    <t>Delete / GB stored on a monthly basis</t>
  </si>
  <si>
    <t>Tier 1 Requests (PUT) / GB Stored</t>
  </si>
  <si>
    <t>Tier 2 Requests (GET) / GB Stored</t>
  </si>
  <si>
    <t>Customer Name</t>
  </si>
  <si>
    <t>Deal Effective Date</t>
  </si>
  <si>
    <t>Term (months)</t>
  </si>
  <si>
    <t>Is this a no-commit deal?</t>
  </si>
  <si>
    <t>Does this deal require price protection?</t>
  </si>
  <si>
    <t>Avg Object Size</t>
  </si>
  <si>
    <t>Link to prior approval if any</t>
  </si>
  <si>
    <t>OVERVIEW</t>
  </si>
  <si>
    <t>Payer ID (all, if there are multiple)</t>
  </si>
  <si>
    <t>MM/DD/YYYY</t>
  </si>
  <si>
    <t>Are there any objects &lt;70KB?</t>
  </si>
  <si>
    <t>DTO / GB stored on a monthly basis</t>
  </si>
  <si>
    <t>Is there a discount requested for DTO?</t>
  </si>
  <si>
    <t>Question</t>
  </si>
  <si>
    <t>AWS</t>
  </si>
  <si>
    <t>On-prem</t>
  </si>
  <si>
    <t>competition</t>
  </si>
  <si>
    <t>Retrievals / GB stored on a monthly basis</t>
  </si>
  <si>
    <t>Is there a discount requested for retrievals?</t>
  </si>
  <si>
    <t>If yes, input discount</t>
  </si>
  <si>
    <t>Is there a discount requested for PUT/GET?</t>
  </si>
  <si>
    <t>Number of ports</t>
  </si>
  <si>
    <t>Port Speed</t>
  </si>
  <si>
    <t>Expected DTO Volume per Month</t>
  </si>
  <si>
    <t>Expected DTI Volume per Month.</t>
  </si>
  <si>
    <t>DX location/AWS Region to be accessed</t>
  </si>
  <si>
    <t>Internet/DX split</t>
  </si>
  <si>
    <t>If DX is involved, please answer the below from row 51-56, else type NA</t>
  </si>
  <si>
    <t>Is the Ramp linear or Non-Linear?</t>
  </si>
  <si>
    <t>Linear</t>
  </si>
  <si>
    <t>Non-Linear</t>
  </si>
  <si>
    <t>If non-linear, attach ramp in attachments tab</t>
  </si>
  <si>
    <t>FA</t>
  </si>
  <si>
    <t>IA</t>
  </si>
  <si>
    <t>AA</t>
  </si>
  <si>
    <t>DAA</t>
  </si>
  <si>
    <t>Input INT split (must add to 100%)</t>
  </si>
  <si>
    <t>Input discount here in %</t>
  </si>
  <si>
    <t>Total starting storage across all classes</t>
  </si>
  <si>
    <t>Input here in PB</t>
  </si>
  <si>
    <t>Is the discount within PARC for this region?</t>
  </si>
  <si>
    <t>Custom</t>
  </si>
  <si>
    <t>No discount but add towards commitment</t>
  </si>
  <si>
    <t>Within RC1</t>
  </si>
  <si>
    <t>Within RC2</t>
  </si>
  <si>
    <t>Insert % of total STD storage in this region</t>
  </si>
  <si>
    <t>Insert % of total SIA storage in this region</t>
  </si>
  <si>
    <t>Insert % of total ZIA storage in this region</t>
  </si>
  <si>
    <t>Insert % of total INT storage in this region</t>
  </si>
  <si>
    <t>Insert % of total Glacier storage in this region</t>
  </si>
  <si>
    <t>Insert % of total GDA storage in this region</t>
  </si>
  <si>
    <t>insert % of total storage GDA</t>
  </si>
  <si>
    <t>insert % of total storage in Glacier</t>
  </si>
  <si>
    <t>insert % of total storage in INT</t>
  </si>
  <si>
    <t>insert % of total storage in ZIA</t>
  </si>
  <si>
    <t>insert % of total storage in SIA</t>
  </si>
  <si>
    <t>insert % of total storage in STD</t>
  </si>
  <si>
    <t xml:space="preserve">Insert % of total STD storage in this region </t>
  </si>
  <si>
    <t>Total ending storage across all classes</t>
  </si>
  <si>
    <t>Is the % starting and ending storage the same in a given region and class? For ex. In IAD, will the STD storage be 10% for both starting/ending storage or will the ending storage will more/less than starting storage as a %. If it will be different, please fill the detailed sheet in attachments tab.</t>
  </si>
  <si>
    <t>Please provide a high level summary of the deal (For ex. What is the ask, what makes it custom, is it a renewal or an existing customer and are we facing a compete situation?)</t>
  </si>
  <si>
    <t>Input answer here</t>
  </si>
  <si>
    <t>INT is a storage classs which intelligently routes data to STD/SIA/Glacier/GDA based on how frequently it is accessed. INT FA goes to STD, IA goes to SIA, AA goes to glacier and DAA goes to GDA. The default % are 10, 20, 30 and 40 respectively.</t>
  </si>
  <si>
    <t>If your answer to above question is NO, please explain what makes this deal custom</t>
  </si>
  <si>
    <t>Does this deal require above PARC discounts? (deals which would not fall in this are PARC deals with SFO addition, non - custom PARC term etc)</t>
  </si>
  <si>
    <t>USAGE/STORAGE PATTERN (These inputs impact margins significantly)</t>
  </si>
  <si>
    <r>
      <t xml:space="preserve">Is DX/Snoball involved in data transfer? </t>
    </r>
    <r>
      <rPr>
        <b/>
        <sz val="12"/>
        <color rgb="FFFF0000"/>
        <rFont val="Calibri (Body)"/>
      </rPr>
      <t>(Mandatory for China)</t>
    </r>
  </si>
  <si>
    <t>USAGE/STORAGE PATTERN (Good to know Inputs)</t>
  </si>
  <si>
    <t>Avg object size and delete rate are critical inputs to a deal model. If actuals are not available, please input a range. For example of object size, images are in the range of MBs, and video files are in the range of GBs. For delete rates, you can input low (0-10%), medium (10-25%) or high (&gt;25%)</t>
  </si>
  <si>
    <r>
      <t xml:space="preserve">1. Please input the storage in each region for a given class as a % of total storage. </t>
    </r>
    <r>
      <rPr>
        <b/>
        <sz val="12"/>
        <color rgb="FFFF0000"/>
        <rFont val="Calibri (Body)"/>
      </rPr>
      <t xml:space="preserve">Cells D20-O20 must add upto 100%
</t>
    </r>
    <r>
      <rPr>
        <sz val="12"/>
        <color theme="1"/>
        <rFont val="Calibri (Body)"/>
      </rPr>
      <t xml:space="preserve">2. Please input regional % storage split of each class in cells DE22-NO33. </t>
    </r>
    <r>
      <rPr>
        <b/>
        <sz val="12"/>
        <color rgb="FFFF0000"/>
        <rFont val="Calibri (Body)"/>
      </rPr>
      <t>Entries for each column per storage class must add to 100%</t>
    </r>
    <r>
      <rPr>
        <sz val="12"/>
        <color theme="1"/>
        <rFont val="Calibri"/>
        <family val="2"/>
        <scheme val="minor"/>
      </rPr>
      <t xml:space="preserve">
3. If there is no current/future storage in a region, please write N/A
4. If </t>
    </r>
    <r>
      <rPr>
        <b/>
        <sz val="12"/>
        <color rgb="FFFF0000"/>
        <rFont val="Calibri (Body)"/>
      </rPr>
      <t>INT is involved</t>
    </r>
    <r>
      <rPr>
        <sz val="12"/>
        <color theme="1"/>
        <rFont val="Calibri"/>
        <family val="2"/>
        <scheme val="minor"/>
      </rPr>
      <t>, input the split between FA/IA/AA/DAA in cell S19-23</t>
    </r>
  </si>
  <si>
    <t>Amazon S3 Standard Storage and Amazon S3 Intelligent-Tiering Storage, Frequent Access</t>
  </si>
  <si>
    <t>Amazon S3 Standard-Infrequent Access Storage &amp; Amazon S3 Intelligent-Tiering Storage, Infrequent Access</t>
  </si>
  <si>
    <t>Enter in $/GB</t>
  </si>
  <si>
    <t>Enter in %</t>
  </si>
  <si>
    <t>Region</t>
  </si>
  <si>
    <t>Starting Mix</t>
  </si>
  <si>
    <t>Ending Mix</t>
  </si>
  <si>
    <t>Delete/GB stored on a monthly basis</t>
  </si>
  <si>
    <t>Total</t>
  </si>
  <si>
    <t>select region</t>
  </si>
  <si>
    <t>Amazon S3 One Zone - Infrequent Access Storage</t>
  </si>
  <si>
    <t>Amazon S3 Glacier Deep Archive &amp; Amazon S3 Intelligent-Tiering Storage, Deep Archive Access</t>
  </si>
  <si>
    <t>Not within PARC</t>
  </si>
  <si>
    <t>Within PARC, but custom due to term length</t>
  </si>
  <si>
    <t>Within PARC, but custom due to other reasons</t>
  </si>
  <si>
    <t>Inclusion of a non-PARC region</t>
  </si>
  <si>
    <t>Enter N/A if this class is not discounted</t>
  </si>
  <si>
    <t>What is the % of objects &lt;70KB?</t>
  </si>
  <si>
    <t>Is the DX flat rate/dynamic pricing</t>
  </si>
  <si>
    <t>Tier 1 Requests (PUT) / GB Stored - This refers to monthly Put requests/ total storage GB for that month</t>
  </si>
  <si>
    <t>Tier 2 Requests (GET) / GB Stored - This refers to monthly GET requests/ total storage GB for that month</t>
  </si>
  <si>
    <t>AIA</t>
  </si>
  <si>
    <t>Amazon S3 Glacier Instant Retrieval Storage &amp; Amazon S3 Intelligent-Tiering Storage, AIA</t>
  </si>
  <si>
    <t>Amazon S3 Glacier Flexible Retrieval &amp; Amazon S3 Intelligent-Tiering Storage, Archive Access</t>
  </si>
  <si>
    <t>If pricing is dynamic, please enter Port Hour discount and Data Transfer discounts</t>
  </si>
  <si>
    <t>What is the % split between EC2 and S3</t>
  </si>
  <si>
    <t>DataTransfer Out via internet / GB stored on a monthly basis (If DX is involved in data transfer, please refer to row 47)</t>
  </si>
  <si>
    <t>S3 Standard (STD)</t>
  </si>
  <si>
    <t>Requested Price*</t>
  </si>
  <si>
    <t>Requested against public pricing*</t>
  </si>
  <si>
    <t>S3 Standard Infrequent Access (SIA)</t>
  </si>
  <si>
    <t>S3 Intelligent Tiering (INT)</t>
  </si>
  <si>
    <t>S3 One Zone Infrequent Access (ZIA)</t>
  </si>
  <si>
    <t>S3 Glacier Instant Retrieval (GIR)</t>
  </si>
  <si>
    <t>S3 Glacier Deep Archive (GDA)</t>
  </si>
  <si>
    <t>Explaination*</t>
  </si>
  <si>
    <r>
      <t xml:space="preserve">S3/Glacier Private Deal Approval Intake Form
</t>
    </r>
    <r>
      <rPr>
        <b/>
        <sz val="11"/>
        <color rgb="FFFF0000"/>
        <rFont val="Calibri (Body)"/>
      </rPr>
      <t>In absence of clear inputs for mandatory* fields marked, the request will not be qualified</t>
    </r>
  </si>
  <si>
    <t>S3 Standard only</t>
  </si>
  <si>
    <t>INT FA only</t>
  </si>
  <si>
    <t>Both</t>
  </si>
  <si>
    <t>SIA only</t>
  </si>
  <si>
    <t>INT IA only</t>
  </si>
  <si>
    <t>GIR only</t>
  </si>
  <si>
    <t>INT AIA only</t>
  </si>
  <si>
    <t>GFR only</t>
  </si>
  <si>
    <t>INT AA only</t>
  </si>
  <si>
    <t>GDA only</t>
  </si>
  <si>
    <t>INT DAA only</t>
  </si>
  <si>
    <t>If discounted, please select the discounted class/tier?</t>
  </si>
  <si>
    <r>
      <t xml:space="preserve">Requested Price </t>
    </r>
    <r>
      <rPr>
        <b/>
        <sz val="9"/>
        <color rgb="FFFF0000"/>
        <rFont val="Calibri (Body)"/>
      </rPr>
      <t>(SCE/GSP/WWPS only)</t>
    </r>
    <r>
      <rPr>
        <b/>
        <sz val="9"/>
        <color theme="0"/>
        <rFont val="Calibri"/>
        <family val="2"/>
        <scheme val="minor"/>
      </rPr>
      <t>*</t>
    </r>
  </si>
  <si>
    <t>Requested discount against public pricing*</t>
  </si>
  <si>
    <r>
      <t xml:space="preserve">[1] Explain why discounts are above PARC? </t>
    </r>
    <r>
      <rPr>
        <b/>
        <sz val="9"/>
        <color theme="1"/>
        <rFont val="Calibri"/>
        <family val="2"/>
        <scheme val="minor"/>
      </rPr>
      <t>&lt;insert answer here&gt;</t>
    </r>
    <r>
      <rPr>
        <sz val="9"/>
        <color theme="1"/>
        <rFont val="Calibri"/>
        <family val="2"/>
        <scheme val="minor"/>
      </rPr>
      <t xml:space="preserve">
[2] Explain why discounts are different/same for all storage classes? </t>
    </r>
    <r>
      <rPr>
        <b/>
        <sz val="9"/>
        <color theme="1"/>
        <rFont val="Calibri"/>
        <family val="2"/>
        <scheme val="minor"/>
      </rPr>
      <t>&lt;insert answer here&gt;</t>
    </r>
    <r>
      <rPr>
        <sz val="9"/>
        <color theme="1"/>
        <rFont val="Calibri"/>
        <family val="2"/>
        <scheme val="minor"/>
      </rPr>
      <t xml:space="preserve">
[3] Explain why discounts are different/same for all regions? </t>
    </r>
    <r>
      <rPr>
        <b/>
        <sz val="9"/>
        <color theme="1"/>
        <rFont val="Calibri"/>
        <family val="2"/>
        <scheme val="minor"/>
      </rPr>
      <t>&lt;insert answer here&gt;</t>
    </r>
  </si>
  <si>
    <t>S3 Glacier Flexible Retrieval (GFR)</t>
  </si>
  <si>
    <t>S3 / Glacier Deal Intake Template</t>
  </si>
  <si>
    <t>2. The excel should be added as an attachment to storage custom deal approval request in the tool by SCE/WWPS while raising a storage custom deal request. This is an addition to the approval template and does not replace it</t>
  </si>
  <si>
    <t>Response</t>
  </si>
  <si>
    <t>General Guidance</t>
  </si>
  <si>
    <t>Ending commitment</t>
  </si>
  <si>
    <t>Please complete the storage class and region mix breakdown below. For existing customers, please indicate the change in future storage mix. If there is no change, please input "per historical usage."</t>
  </si>
  <si>
    <t>If INT is included, please indicate split (in %)</t>
  </si>
  <si>
    <t>Helpful Links</t>
  </si>
  <si>
    <t>Pre-Approved Rate Cards</t>
  </si>
  <si>
    <t>Storage Classes</t>
  </si>
  <si>
    <t>Please email s3parc@amazon.com for any further questions/concerns.</t>
  </si>
  <si>
    <t>Use Cases for Glacier Storage Classes</t>
  </si>
  <si>
    <t>Starting Regional Storage Mix</t>
  </si>
  <si>
    <t>Ending Regional Storage Mix*</t>
  </si>
  <si>
    <t>*Only input ending storage mix if the customer expects changes during the term length of the PPA</t>
  </si>
  <si>
    <t>Requested Rate</t>
  </si>
  <si>
    <t>Requested Discount</t>
  </si>
  <si>
    <t>$/GB</t>
  </si>
  <si>
    <t>%</t>
  </si>
  <si>
    <t>Please input the discounted rates being requested for each storage class by region.</t>
  </si>
  <si>
    <t>Usage Storage Patterns</t>
  </si>
  <si>
    <t>Avg Object Size*</t>
  </si>
  <si>
    <t>* Average object size and delete rate are critical inputs to a deal model. If actual numbers are not available, please input a range. For example  - for object size, images are in the range of MBs, and video files are in the range of GBs. For delete rates, retrievals and data transfer - you can input low (0-10%), medium (10-25%) or high (&gt;25%)</t>
  </si>
  <si>
    <t>1. All tabs will be filled by account teams and provided to SCE/WWPS. The SCE/WWPS team will then qualify the inputs before submitting the template as part of approval request</t>
  </si>
  <si>
    <t xml:space="preserve">Refer to Battle cards and compete section on Wisdom </t>
  </si>
  <si>
    <t>If answer to above in NO and DX is involved, request the account team or SA answer the below (for DX directly connected to S3 case only)</t>
  </si>
  <si>
    <t>Please explain the customer's relationship with AWS. What is their % spend on S3 and is that expected to change?</t>
  </si>
  <si>
    <t xml:space="preserve">What is underlying reason for private pricing or increased discounts on S3? </t>
  </si>
  <si>
    <t>Is there a compete situation in the deal? If yes, who are we competing with and what visibility do we have on their offer?</t>
  </si>
  <si>
    <t>Is the customer willing to provide a public reference?</t>
  </si>
  <si>
    <t xml:space="preserve">What is the annual growth outlook for the customer (both on AWS and specifically on S3)? </t>
  </si>
  <si>
    <t>Is the customer region flexible in terms of S3/Glacier usage? (specially DUB and SIN) Why not?</t>
  </si>
  <si>
    <t>What is the strategic importance of the requested S3/Glacier terms and what other S3 commits, service spend, workloads, or bargain can AWS (both storage and overall) stand to get if we approve these discounts?</t>
  </si>
  <si>
    <t>Does the deal require above PARC discounts? If not, what makes it custom and why is a requirement for the customer? (non-linear ramp, annual check-ins, etc)</t>
  </si>
  <si>
    <t>Is the starting commit lower than their current usage. If yes, why? Additionally, is the customer planning any deletes? Please explain.</t>
  </si>
  <si>
    <t>Is the ramp linear? If no, please provide ramp schedule in the response with the region and class mix included</t>
  </si>
  <si>
    <t xml:space="preserve">INT is a storage class which intelligently routes data to INT FA/INT IA/INT AIA/Int AA/INT DAA based on how frequently it is accessed. </t>
  </si>
  <si>
    <t>Is discount % also requested on INT? Y/N</t>
  </si>
  <si>
    <t>Input</t>
  </si>
  <si>
    <t>What is the impact of not approving the requested discounts?</t>
  </si>
  <si>
    <t>If a renewal, is this deal bringing any incremental workloads, or is it only organic growth? Please explain.</t>
  </si>
  <si>
    <t>Does the ending commit account for all of the customers projected growth? If not, please explain why is the customer hesitant to higher commitment.</t>
  </si>
  <si>
    <t>For existing workloads with organic growth, we can use AWS data warehouse information to evaluate customer usage patterns. Additionally, if this is an existing customer but has new incoming workloads, can we use the current usage patterns (retrievals, DTO, etc)? If yes, skip line 4-13</t>
  </si>
  <si>
    <t>Is there an existing DX PPA which will be applied on this storage deal private pricing along with transfer patterns as today? Will the same PPA terms be applied to the new deal? If yes, please attach the DX PPA and skip the below lines</t>
  </si>
  <si>
    <t xml:space="preserve">For all other use cases, can you provide estimate on the below for each storage class in discussion? </t>
  </si>
  <si>
    <t>Is this deal for a new workload? If yes, where are these workloads currently housed and what is the current usage workflow (for example, explain the on-prem use case if the deal is an on prem compete)?</t>
  </si>
  <si>
    <t>What role will Cloud storage play in the customer's infrastructure (e.g., will they use the Cloud as a secondary copy only (and maintain their primary copy on-prem, hybrid, or will they use the Cloud as their only copy (no longer use on-prem)? </t>
  </si>
  <si>
    <r>
      <t xml:space="preserve">Is DX/Snowball involved in data transfer? </t>
    </r>
    <r>
      <rPr>
        <sz val="12"/>
        <color rgb="FFFF0000"/>
        <rFont val="Arial"/>
        <family val="2"/>
      </rPr>
      <t>(Mandatory for China)</t>
    </r>
  </si>
  <si>
    <r>
      <t>Starti</t>
    </r>
    <r>
      <rPr>
        <sz val="12"/>
        <rFont val="Arial"/>
        <family val="2"/>
      </rPr>
      <t>ng commitment (for net new workloads, input 0 PB)</t>
    </r>
  </si>
  <si>
    <t>1. This intake template is intended to be used for ALL custom S3/Glacier deals. PARCs are excluded from requiring an intake form</t>
  </si>
  <si>
    <t>3. The given template is only for S3/Glacier storage custom deal intake qualification. Private pricing requests for EC2/EBS/networking custom deals etc, are NOT covered under this intake form</t>
  </si>
  <si>
    <r>
      <t xml:space="preserve">Give a brief description of the workloads, data flow and architecture. What does the customer use S3/Glacier for, how does the data flow in AWS to S3, how is it accessed and how are the selected storage classes suitable for the customer (explain for all requested workloads/storage classes. For ex, data is initially hot and stored in standard for further processing from where it is then aggregated and moved into a colder tier)? </t>
    </r>
    <r>
      <rPr>
        <i/>
        <sz val="12"/>
        <rFont val="Arial"/>
        <family val="2"/>
      </rPr>
      <t>TAM/SA should ideally answer this question.</t>
    </r>
  </si>
  <si>
    <t>Is this deal for an existing workload? If yes, how have we ensured the customer is currently optimized in terms of storage class usage (for example, using GIR for colder data that needs instant access)? Is the customer planning any usage or region mix shift? Please explain.</t>
  </si>
  <si>
    <t>If this is an existing customer with new incoming workloads, what are the usage patterns of the new workload (retrievals, DTO, etc)? Are they similar to their current usage patterns? If yes, how? If no, please complete the additional details section.</t>
  </si>
  <si>
    <t>Standard Infrequent Access (SIA) &amp; S3 Intelligent-Tiering Infrequent Access (INT-IA)</t>
  </si>
  <si>
    <t>S3 Standard and S3 Intelligent-Tiering Frequent Access (INT-FA)</t>
  </si>
  <si>
    <t>One Zone Infrequent Access (ZIA)</t>
  </si>
  <si>
    <t>Glacier Flexible Retrieval (GFR) &amp; S3 Intelligent-Tiering Archive Access (INT-AA)</t>
  </si>
  <si>
    <t>Glacier Instant Retrieval (GIR) &amp; S3 Intelligent Tiering Archive Instant Access (INT-AIA)</t>
  </si>
  <si>
    <t>Glacier Deep Archive (GDA) &amp; S3 Intelligent-Tiering Storage Deep Access Archive (DAA)</t>
  </si>
  <si>
    <t>If the customer is not commiting to their expected usage or reducing commitment, please explain why is SCE aligned with the request.</t>
  </si>
  <si>
    <t>Is this request a part of cross service renewal? Please attach current cross service PPA and provide details on new cross service deal such as $ commit and CSD.</t>
  </si>
  <si>
    <t>If applicable, please explain the expected adoption of GIR and Intelligent tiering. Why is it critical to the deal and why is private pricing necessary for it?</t>
  </si>
  <si>
    <t>Please explain how are we working backwards from customer requested savings vs. a flat discount ask. Please attach TCO analyses or competetive financial comparisons done by SA/TAM or sales team.</t>
  </si>
  <si>
    <t>Is private pricing being asked for more than the rate (i.e. PUTS/GETS, Retrievals, DTO) ? If yes, please state what leads to the high charge (i.e. describe their workloads and use case) and why is the discount critical to the deal?</t>
  </si>
  <si>
    <t xml:space="preserve">2. The inputs of the intake form are intended to support comprehensive deal qualification. We recommend the intake form be filled duly to avoid request rejection. </t>
  </si>
  <si>
    <t>ZRH</t>
  </si>
  <si>
    <t>Tier</t>
  </si>
  <si>
    <t>S3 Standard</t>
  </si>
  <si>
    <t>S-IA</t>
  </si>
  <si>
    <t>Data in PB</t>
  </si>
  <si>
    <t>Fruitstand China</t>
  </si>
  <si>
    <t>This a net new deal, Fruitstand China iCloud storage workload.</t>
  </si>
  <si>
    <t>AWS S3 would be used as the primary copy.</t>
  </si>
  <si>
    <t>This is not renewal.</t>
  </si>
  <si>
    <t>Based on the Fruitstand iCloud S3 user case in global regions, we propose S3-STD and S3-IA for iCloud China.</t>
  </si>
  <si>
    <t>This is a new workload.</t>
  </si>
  <si>
    <t>Fruitstand will evaluate to choose vendors for iCloud before end of contract, if we can not win the contract at that time, customer will move data to new vendor.</t>
  </si>
  <si>
    <t xml:space="preserve">Fruitstand China iCloud workload. </t>
  </si>
  <si>
    <t>Not a cross service renewal.</t>
  </si>
  <si>
    <t>Fruitstand China currently have ARR 450K. There has only one workload, Great China Sales Training MyDemo  from sales LoB using S3 with a ARR about 2K. After win the iCloud China opportunity, a 7M ARR would be a solid growth outlook for the customer.</t>
  </si>
  <si>
    <t xml:space="preserve">Currently 6 vendors had shared the capacity from Y2018. These 6 vendors are on two territories, #1 Telco, the major 3 Telco componies in China, China Mobile, China Telecom, China Unicom. #2 major China internet companies, Baidu, Ali and Tencent.  </t>
  </si>
  <si>
    <t>iCloud China capacity share and revenue.</t>
  </si>
  <si>
    <t>We don't think so.</t>
  </si>
  <si>
    <t>Once confirm the region and kick off the ramp up, it would not be fexible to change the region.</t>
  </si>
  <si>
    <t>No</t>
  </si>
  <si>
    <t>Target pricing was based on the competitor and customer's reference pricing benchmark.</t>
  </si>
  <si>
    <t>Currently, Fruitstand China utilizes six third-party object storage service providers to share the iCloud storage capacity in China. Additionally, Fruitstand China has built two data centers in the country, and the on-premise solution also contributes to the storage capacity share.</t>
  </si>
  <si>
    <t>Fruitstand is a key strategic account for AWS and one of the top consumers of S3 services in global regions. However, in Fruitstand China, there is currently 0% spend on S3. We are targeting a breakthrough in iCloud China workload.</t>
  </si>
  <si>
    <t>Currently, iCloud is a key workload for which we have detailed information on the landscape. Based on the customer sponsor and our observations on Fruitstand's supply chain management, we need competitive pricing to win the opportunity for the share.</t>
  </si>
  <si>
    <t>From iCloud China storage operation information, now the six vendors all have the commitment share with about 4 years contract from Fruitstand China. We don't think there would not have commitment.</t>
  </si>
  <si>
    <t>We cannot open the door for negotiation with Fruitstand China for the share of the capacity. In 2025, there will be a renewal window with the current vendors by Fruitstnad China, and if we miss this window, there will not be opportunities for engagement for the next four years.</t>
  </si>
  <si>
    <t>300PB</t>
  </si>
  <si>
    <t>Yes.</t>
  </si>
  <si>
    <t>Does the customer use DX for data transfer (and not DTO via internet)? If yes, please give inputs below (mandatory for China region)</t>
  </si>
  <si>
    <t>No. Use DTI via Internet.</t>
  </si>
  <si>
    <t>BJS or ZHY</t>
  </si>
  <si>
    <t>N/A</t>
  </si>
  <si>
    <t>$</t>
  </si>
  <si>
    <t>Blended ZHY</t>
  </si>
  <si>
    <t>Blended BJS</t>
  </si>
  <si>
    <t xml:space="preserve">&lt;= The workload could be hosted in either the BJS or ZHY, but all data would need to be stored in a single region. </t>
  </si>
  <si>
    <t>We would appreciate the service team's recommendation on the preferred AWS region.</t>
  </si>
  <si>
    <t>Hot:Cold mix is 3:7</t>
  </si>
  <si>
    <t>Hot</t>
  </si>
  <si>
    <t>Cold</t>
  </si>
  <si>
    <t>S3 IA</t>
  </si>
  <si>
    <t>Storage size</t>
  </si>
  <si>
    <t>PB</t>
  </si>
  <si>
    <t>Average object size</t>
  </si>
  <si>
    <t>MB</t>
  </si>
  <si>
    <t>Put peak QPS</t>
  </si>
  <si>
    <t>K/s</t>
  </si>
  <si>
    <t>Get peak QPS</t>
  </si>
  <si>
    <t>Delete peak QPS</t>
  </si>
  <si>
    <t>Public price (CNY)</t>
  </si>
  <si>
    <t>S3 Tiering</t>
  </si>
  <si>
    <t>Storage Price</t>
  </si>
  <si>
    <t>S3-STD</t>
  </si>
  <si>
    <t>S3-IA</t>
  </si>
  <si>
    <t>PUT price (per 1,000)</t>
  </si>
  <si>
    <t>GET price (per 10,000)</t>
  </si>
  <si>
    <t>Data Retrieval (per GB)</t>
  </si>
  <si>
    <t>DTO (per GB)</t>
  </si>
  <si>
    <t>Assumption</t>
  </si>
  <si>
    <t>Customer Data access pattern</t>
  </si>
  <si>
    <t>Usage (PB)</t>
  </si>
  <si>
    <t>Get Monthly (per 10,000)</t>
  </si>
  <si>
    <t>PUT Monthly Volume (per 1,000)</t>
  </si>
  <si>
    <t>Data Retrieval (GB)</t>
  </si>
  <si>
    <t>DTO (GB)</t>
  </si>
  <si>
    <t>PUT</t>
  </si>
  <si>
    <t xml:space="preserve">GET </t>
  </si>
  <si>
    <t xml:space="preserve">Data Retrieval </t>
  </si>
  <si>
    <t>Storage</t>
  </si>
  <si>
    <t>API Calls</t>
  </si>
  <si>
    <t>DTO</t>
  </si>
  <si>
    <t>mix</t>
  </si>
  <si>
    <t>Inclusive Total</t>
  </si>
  <si>
    <t>&lt;= update yellow cells to adjust disc ask</t>
  </si>
  <si>
    <t>Open Door price (Per GB)</t>
  </si>
  <si>
    <t>ZHY disc -&gt;</t>
  </si>
  <si>
    <t>BJS disc -&gt;</t>
  </si>
  <si>
    <t>S3 STD</t>
  </si>
  <si>
    <t>GET</t>
  </si>
  <si>
    <t>DTI (GB)</t>
  </si>
  <si>
    <t>Peak to Average ratio</t>
  </si>
  <si>
    <t>The estimated bandwidth size is 13500 (Put Peak QPS) * 2.5 (average file size) / 1024 (converted to GB/s) * 8 (converted to bandwidth unit Gbps) = 264Gbps</t>
  </si>
  <si>
    <t>Put peak QPS (per 100PiB)</t>
  </si>
  <si>
    <t>Daily DTI (every stored 100PB)</t>
  </si>
  <si>
    <t>DTI: DTO ratio</t>
  </si>
  <si>
    <t>S-IA vs S3 STD ratio</t>
  </si>
  <si>
    <t xml:space="preserve">Daily DTI </t>
  </si>
  <si>
    <t>Get peak QPS (per 100PiB)</t>
  </si>
  <si>
    <t>Delete peak QPS (per 100PiB)</t>
  </si>
  <si>
    <t>PUT per GB Ratio</t>
  </si>
  <si>
    <t>Get per GB Ratio</t>
  </si>
  <si>
    <t>DTO Per GB Ratio</t>
  </si>
  <si>
    <t>check global DTO disc</t>
  </si>
  <si>
    <t>6家 vendor situation</t>
  </si>
  <si>
    <t>那张图</t>
  </si>
  <si>
    <t>上次啥价格</t>
  </si>
  <si>
    <t>上次为啥要走 partner</t>
  </si>
  <si>
    <t>2.5MB</t>
  </si>
  <si>
    <t>Public price (USD)</t>
  </si>
  <si>
    <t>Exchange Rate</t>
  </si>
  <si>
    <t>Inclusive per GB cost after discount - In USD</t>
  </si>
  <si>
    <t>Inclusive (Storage, API calls and DTO) Total Cost after discount - In USD</t>
  </si>
  <si>
    <t>Private price (USD)</t>
  </si>
  <si>
    <t>AWS STD exchange rate for H2'2024</t>
  </si>
  <si>
    <t>Actual AOS based on existing vendors' use case</t>
  </si>
  <si>
    <t>per China Mobile RFI file and Baidu Cloud recent operation data</t>
  </si>
  <si>
    <t xml:space="preserve">per iCloud working mechanism, the data ingestion will happen on the condition with Wifi connection and in charging, we assume the ingestion will only happen during 1-5 am (4 hours/24 hours = 16.7%) </t>
  </si>
  <si>
    <t>Based on China Mobile and Baidu Cloud iCloud workload operation data.</t>
  </si>
  <si>
    <t>Assumptions</t>
  </si>
  <si>
    <t>Based on China Mobile and Baidu Cloud iCloud workload operation data</t>
  </si>
  <si>
    <t xml:space="preserve">If we won the deal, the total peak storage usage is 300PB, the ingest plan from Fruitstand China is to linearly grow data to meet 300PB during 6 months, then keep 300PB on AWS for 30 months when keep to ingest and delete data during the time.
During the 36 months, customer will daily ingest 0.5PB to AWS via public internet. The average object size is 2.5MB. </t>
  </si>
  <si>
    <t>low</t>
  </si>
  <si>
    <t>Total Put/GB Ratio</t>
  </si>
  <si>
    <t>Total Get/GB Ratio</t>
  </si>
  <si>
    <t>Total DTO per GB stored Ratio</t>
  </si>
  <si>
    <t>Billing Total</t>
  </si>
  <si>
    <t>Waive 3 SKU</t>
  </si>
  <si>
    <t>Billing S-IA Total</t>
  </si>
  <si>
    <t>Waive Total</t>
  </si>
  <si>
    <t>After waived charging Total</t>
  </si>
  <si>
    <t>Average to per GB before Waive USD</t>
  </si>
  <si>
    <t>Average to per GB before Waive RMB (人民币分/GB)</t>
  </si>
  <si>
    <t>Average to per GB after Waive RMB (人民币分/GB)</t>
  </si>
  <si>
    <t>Billing STD Total</t>
  </si>
  <si>
    <t>Average to per GB after Waive USD</t>
  </si>
  <si>
    <t>PTS on Jan 22</t>
  </si>
  <si>
    <t>Unit Price</t>
  </si>
  <si>
    <t>Y2025 Rev</t>
  </si>
  <si>
    <t>Y2025 Credit</t>
  </si>
  <si>
    <t>Stable MRR</t>
  </si>
  <si>
    <t>Stable Credit per Month</t>
  </si>
  <si>
    <t>Stable ARR</t>
  </si>
  <si>
    <t>Stable Credit per yr</t>
  </si>
  <si>
    <t>3 yrs</t>
  </si>
  <si>
    <t>Revenue</t>
  </si>
  <si>
    <t>Waive 3 SKU Credit</t>
  </si>
  <si>
    <t xml:space="preserve">Total charge capacity </t>
  </si>
  <si>
    <t>Revenue after waive</t>
  </si>
  <si>
    <t>All-in-one Pricing</t>
  </si>
  <si>
    <t>Approved</t>
  </si>
  <si>
    <t>Revenue on Requested Price</t>
  </si>
  <si>
    <t>Total Credit</t>
  </si>
  <si>
    <t>USD per month per GB</t>
  </si>
  <si>
    <t>CNY:USD rate</t>
  </si>
  <si>
    <t>人民币分每GB每月</t>
  </si>
  <si>
    <t>After Waive Extra Credit</t>
  </si>
  <si>
    <t>Requested  1.5 with TAX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</si>
</sst>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quot;$&quot;#,##0.0000_);[Red]\(&quot;$&quot;#,##0.0000\)"/>
    <numFmt numFmtId="165" formatCode="0.0%"/>
    <numFmt numFmtId="166" formatCode="#,##0.00000"/>
    <numFmt numFmtId="167" formatCode="&quot;$&quot;#,##0.00000_);[Red]\(&quot;$&quot;#,##0.00000\)"/>
    <numFmt numFmtId="168" formatCode="&quot;$&quot;#,##0.000000_);[Red]\(&quot;$&quot;#,##0.000000\)"/>
    <numFmt numFmtId="169" formatCode="0.000%"/>
    <numFmt numFmtId="170" formatCode="0.00000"/>
    <numFmt numFmtId="171" formatCode="&quot;$&quot;#,##0.00000"/>
    <numFmt numFmtId="172" formatCode="_ * #,##0.000000_ ;_ * \-#,##0.000000_ ;_ * &quot;-&quot;??_ ;_ @_ "/>
  </numFmts>
  <fonts count="68">
    <font>
      <sz val="12"/>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1"/>
      <color theme="1"/>
      <name val="Calibri"/>
      <family val="2"/>
      <scheme val="minor"/>
    </font>
    <font>
      <b/>
      <sz val="12"/>
      <color theme="0"/>
      <name val="Calibri"/>
      <family val="2"/>
      <scheme val="minor"/>
    </font>
    <font>
      <b/>
      <sz val="12"/>
      <color theme="1"/>
      <name val="Calibri"/>
      <family val="2"/>
      <scheme val="minor"/>
    </font>
    <font>
      <b/>
      <sz val="16"/>
      <color theme="0"/>
      <name val="Calibri"/>
      <family val="2"/>
      <scheme val="minor"/>
    </font>
    <font>
      <b/>
      <sz val="10"/>
      <color theme="1"/>
      <name val="Calibri"/>
      <family val="2"/>
      <scheme val="minor"/>
    </font>
    <font>
      <i/>
      <sz val="12"/>
      <color theme="1"/>
      <name val="Calibri"/>
      <family val="2"/>
      <scheme val="minor"/>
    </font>
    <font>
      <b/>
      <sz val="12"/>
      <color rgb="FFFF0000"/>
      <name val="Calibri (Body)"/>
    </font>
    <font>
      <sz val="12"/>
      <color rgb="FF000000"/>
      <name val="Calibri"/>
      <family val="2"/>
      <scheme val="minor"/>
    </font>
    <font>
      <b/>
      <sz val="12"/>
      <color theme="0"/>
      <name val="Calibri (Body)"/>
    </font>
    <font>
      <sz val="12"/>
      <color theme="1"/>
      <name val="Calibri"/>
      <family val="2"/>
      <scheme val="minor"/>
    </font>
    <font>
      <sz val="12"/>
      <color theme="1"/>
      <name val="Calibri (Body)"/>
    </font>
    <font>
      <b/>
      <sz val="10"/>
      <color theme="0"/>
      <name val="Calibri"/>
      <family val="2"/>
      <scheme val="minor"/>
    </font>
    <font>
      <b/>
      <i/>
      <sz val="14"/>
      <color theme="1"/>
      <name val="Calibri"/>
      <family val="2"/>
      <scheme val="minor"/>
    </font>
    <font>
      <b/>
      <sz val="10"/>
      <color rgb="FFFF0000"/>
      <name val="Calibri"/>
      <family val="2"/>
      <scheme val="minor"/>
    </font>
    <font>
      <sz val="9"/>
      <color theme="1"/>
      <name val="Calibri"/>
      <family val="2"/>
      <scheme val="minor"/>
    </font>
    <font>
      <b/>
      <sz val="9"/>
      <color theme="0"/>
      <name val="Calibri"/>
      <family val="2"/>
      <scheme val="minor"/>
    </font>
    <font>
      <b/>
      <sz val="18"/>
      <name val="Calibri"/>
      <family val="2"/>
      <scheme val="minor"/>
    </font>
    <font>
      <sz val="11"/>
      <name val="Calibri"/>
      <family val="2"/>
      <scheme val="minor"/>
    </font>
    <font>
      <b/>
      <sz val="9"/>
      <color theme="1"/>
      <name val="Calibri"/>
      <family val="2"/>
      <scheme val="minor"/>
    </font>
    <font>
      <u/>
      <sz val="12"/>
      <color theme="10"/>
      <name val="Calibri"/>
      <family val="2"/>
      <scheme val="minor"/>
    </font>
    <font>
      <b/>
      <sz val="11"/>
      <color rgb="FFFF0000"/>
      <name val="Calibri (Body)"/>
    </font>
    <font>
      <i/>
      <sz val="10"/>
      <name val="Calibri"/>
      <family val="2"/>
      <scheme val="minor"/>
    </font>
    <font>
      <b/>
      <sz val="9"/>
      <color rgb="FFFF0000"/>
      <name val="Calibri (Body)"/>
    </font>
    <font>
      <sz val="12"/>
      <color theme="0"/>
      <name val="Arial"/>
      <family val="2"/>
    </font>
    <font>
      <b/>
      <sz val="12"/>
      <name val="Arial"/>
      <family val="2"/>
    </font>
    <font>
      <sz val="12"/>
      <name val="Arial"/>
      <family val="2"/>
    </font>
    <font>
      <i/>
      <sz val="12"/>
      <color theme="1"/>
      <name val="Arial"/>
      <family val="2"/>
    </font>
    <font>
      <sz val="12"/>
      <color theme="1"/>
      <name val="Arial"/>
      <family val="2"/>
    </font>
    <font>
      <sz val="12"/>
      <color rgb="FFFF0000"/>
      <name val="Arial"/>
      <family val="2"/>
    </font>
    <font>
      <i/>
      <sz val="12"/>
      <color theme="4"/>
      <name val="Arial"/>
      <family val="2"/>
    </font>
    <font>
      <b/>
      <sz val="18"/>
      <color theme="1"/>
      <name val="Arial"/>
      <family val="2"/>
    </font>
    <font>
      <b/>
      <sz val="12"/>
      <color theme="0"/>
      <name val="Arial"/>
      <family val="2"/>
    </font>
    <font>
      <i/>
      <sz val="12"/>
      <name val="Arial"/>
      <family val="2"/>
    </font>
    <font>
      <b/>
      <sz val="10"/>
      <color theme="0"/>
      <name val="Arial"/>
      <family val="2"/>
    </font>
    <font>
      <sz val="10"/>
      <color theme="1"/>
      <name val="Arial"/>
      <family val="2"/>
    </font>
    <font>
      <sz val="11"/>
      <color theme="1"/>
      <name val="Arial"/>
      <family val="2"/>
    </font>
    <font>
      <sz val="10"/>
      <color theme="0"/>
      <name val="Arial"/>
      <family val="2"/>
    </font>
    <font>
      <sz val="11"/>
      <color theme="0"/>
      <name val="Arial"/>
      <family val="2"/>
    </font>
    <font>
      <i/>
      <sz val="8"/>
      <color theme="1"/>
      <name val="Arial"/>
      <family val="2"/>
    </font>
    <font>
      <i/>
      <sz val="10"/>
      <color theme="1" tint="0.499984740745262"/>
      <name val="Arial"/>
      <family val="2"/>
    </font>
    <font>
      <b/>
      <i/>
      <sz val="12"/>
      <color theme="1"/>
      <name val="Arial"/>
      <family val="2"/>
    </font>
    <font>
      <b/>
      <sz val="18"/>
      <color rgb="FFFF0000"/>
      <name val="Arial"/>
      <family val="2"/>
    </font>
    <font>
      <b/>
      <sz val="20"/>
      <name val="Arial"/>
      <family val="2"/>
    </font>
    <font>
      <b/>
      <u/>
      <sz val="12"/>
      <color rgb="FF002060"/>
      <name val="Arial"/>
      <family val="2"/>
    </font>
    <font>
      <u/>
      <sz val="12"/>
      <color theme="10"/>
      <name val="Arial"/>
      <family val="2"/>
    </font>
    <font>
      <sz val="10"/>
      <color theme="0"/>
      <name val="Calibri"/>
      <family val="2"/>
      <scheme val="minor"/>
    </font>
    <font>
      <b/>
      <sz val="12"/>
      <color rgb="FF0070C0"/>
      <name val="Arial"/>
      <family val="2"/>
    </font>
    <font>
      <sz val="12"/>
      <color rgb="FF0070C0"/>
      <name val="Arial"/>
      <family val="2"/>
    </font>
    <font>
      <i/>
      <sz val="10"/>
      <color rgb="FF0070C0"/>
      <name val="Arial"/>
      <family val="2"/>
    </font>
    <font>
      <sz val="11"/>
      <color rgb="FF0070C0"/>
      <name val="Arial"/>
      <family val="2"/>
    </font>
    <font>
      <sz val="10"/>
      <color rgb="FF0070C0"/>
      <name val="Calibri"/>
      <family val="2"/>
      <scheme val="minor"/>
    </font>
    <font>
      <b/>
      <i/>
      <sz val="10"/>
      <color theme="1"/>
      <name val="Calibri"/>
      <family val="2"/>
      <scheme val="minor"/>
    </font>
    <font>
      <b/>
      <u/>
      <sz val="10"/>
      <color theme="1"/>
      <name val="Calibri"/>
      <family val="2"/>
      <scheme val="minor"/>
    </font>
    <font>
      <sz val="10"/>
      <color rgb="FFFF0000"/>
      <name val="Calibri"/>
      <family val="2"/>
      <scheme val="minor"/>
    </font>
    <font>
      <i/>
      <sz val="9"/>
      <color theme="4"/>
      <name val="Calibri"/>
      <family val="2"/>
      <scheme val="minor"/>
    </font>
    <font>
      <sz val="10"/>
      <name val="Calibri"/>
      <family val="2"/>
      <scheme val="minor"/>
    </font>
    <font>
      <sz val="9"/>
      <color rgb="FFFF0000"/>
      <name val="Calibri"/>
      <family val="2"/>
      <scheme val="minor"/>
    </font>
    <font>
      <sz val="9"/>
      <name val="Calibri"/>
      <family val="2"/>
      <scheme val="minor"/>
    </font>
    <font>
      <sz val="9"/>
      <color theme="5" tint="-0.249977111117893"/>
      <name val="Calibri"/>
      <family val="2"/>
      <scheme val="minor"/>
    </font>
    <font>
      <sz val="10"/>
      <color theme="5" tint="-0.249977111117893"/>
      <name val="Calibri"/>
      <family val="2"/>
      <scheme val="minor"/>
    </font>
    <font>
      <i/>
      <sz val="9"/>
      <color theme="5" tint="-0.249977111117893"/>
      <name val="Calibri"/>
      <family val="2"/>
      <scheme val="minor"/>
    </font>
    <font>
      <b/>
      <sz val="9"/>
      <color theme="5" tint="-0.249977111117893"/>
      <name val="Calibri"/>
      <family val="2"/>
      <scheme val="minor"/>
    </font>
    <font>
      <b/>
      <sz val="12"/>
      <color rgb="FFC00000"/>
      <name val="Calibri"/>
      <family val="2"/>
      <scheme val="minor"/>
    </font>
  </fonts>
  <fills count="19">
    <fill>
      <patternFill patternType="none"/>
    </fill>
    <fill>
      <patternFill patternType="gray125"/>
    </fill>
    <fill>
      <patternFill patternType="solid">
        <fgColor theme="1"/>
        <bgColor indexed="64"/>
      </patternFill>
    </fill>
    <fill>
      <patternFill patternType="solid">
        <fgColor theme="2" tint="-9.9978637043366805E-2"/>
        <bgColor indexed="64"/>
      </patternFill>
    </fill>
    <fill>
      <patternFill patternType="solid">
        <fgColor theme="1" tint="0.34998626667073579"/>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7" tint="0.39997558519241921"/>
        <bgColor indexed="64"/>
      </patternFill>
    </fill>
    <fill>
      <patternFill patternType="solid">
        <fgColor theme="0"/>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1" tint="0.499984740745262"/>
        <bgColor indexed="64"/>
      </patternFill>
    </fill>
    <fill>
      <patternFill patternType="solid">
        <fgColor rgb="FF002060"/>
        <bgColor indexed="64"/>
      </patternFill>
    </fill>
    <fill>
      <patternFill patternType="solid">
        <fgColor rgb="FFD9D9D9"/>
        <bgColor indexed="64"/>
      </patternFill>
    </fill>
    <fill>
      <patternFill patternType="solid">
        <fgColor rgb="FFFCE4D6"/>
        <bgColor indexed="64"/>
      </patternFill>
    </fill>
    <fill>
      <patternFill patternType="solid">
        <fgColor rgb="FFFFFF00"/>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9" tint="0.79998168889431442"/>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style="thin">
        <color theme="0"/>
      </top>
      <bottom/>
      <diagonal/>
    </border>
    <border>
      <left/>
      <right style="thin">
        <color theme="0"/>
      </right>
      <top style="thin">
        <color theme="0"/>
      </top>
      <bottom/>
      <diagonal/>
    </border>
    <border>
      <left/>
      <right/>
      <top/>
      <bottom style="thin">
        <color theme="0"/>
      </bottom>
      <diagonal/>
    </border>
    <border>
      <left/>
      <right style="thin">
        <color theme="0"/>
      </right>
      <top/>
      <bottom style="thin">
        <color theme="0"/>
      </bottom>
      <diagonal/>
    </border>
    <border>
      <left style="thin">
        <color theme="0"/>
      </left>
      <right/>
      <top/>
      <bottom/>
      <diagonal/>
    </border>
    <border>
      <left style="thin">
        <color theme="0"/>
      </left>
      <right/>
      <top style="thin">
        <color theme="0"/>
      </top>
      <bottom/>
      <diagonal/>
    </border>
    <border>
      <left/>
      <right style="thin">
        <color theme="0"/>
      </right>
      <top/>
      <bottom/>
      <diagonal/>
    </border>
    <border>
      <left style="thin">
        <color theme="0"/>
      </left>
      <right/>
      <top/>
      <bottom style="thin">
        <color theme="0"/>
      </bottom>
      <diagonal/>
    </border>
    <border>
      <left style="thin">
        <color indexed="64"/>
      </left>
      <right/>
      <top/>
      <bottom style="thin">
        <color indexed="64"/>
      </bottom>
      <diagonal/>
    </border>
    <border>
      <left/>
      <right style="thin">
        <color indexed="64"/>
      </right>
      <top/>
      <bottom style="thin">
        <color indexed="64"/>
      </bottom>
      <diagonal/>
    </border>
  </borders>
  <cellStyleXfs count="8">
    <xf numFmtId="0" fontId="0" fillId="0" borderId="0"/>
    <xf numFmtId="9" fontId="14" fillId="0" borderId="0" applyFont="0" applyFill="0" applyBorder="0" applyAlignment="0" applyProtection="0"/>
    <xf numFmtId="0" fontId="24" fillId="0" borderId="0" applyNumberFormat="0" applyFill="0" applyBorder="0" applyAlignment="0" applyProtection="0"/>
    <xf numFmtId="0" fontId="14" fillId="0" borderId="0"/>
    <xf numFmtId="43" fontId="14" fillId="0" borderId="0" applyFont="0" applyFill="0" applyBorder="0" applyAlignment="0" applyProtection="0"/>
    <xf numFmtId="0" fontId="1" fillId="0" borderId="0"/>
    <xf numFmtId="0" fontId="14" fillId="0" borderId="0"/>
    <xf numFmtId="9" fontId="14" fillId="0" borderId="0" applyFont="0" applyFill="0" applyBorder="0" applyAlignment="0" applyProtection="0"/>
  </cellStyleXfs>
  <cellXfs count="388">
    <xf numFmtId="0" fontId="0" fillId="0" borderId="0" xfId="0"/>
    <xf numFmtId="0" fontId="0" fillId="0" borderId="0" xfId="0" applyAlignment="1">
      <alignment horizontal="center"/>
    </xf>
    <xf numFmtId="0" fontId="8" fillId="0" borderId="0" xfId="0" applyFont="1" applyAlignment="1">
      <alignment horizontal="center" vertical="center"/>
    </xf>
    <xf numFmtId="0" fontId="0" fillId="0" borderId="2" xfId="0" applyBorder="1"/>
    <xf numFmtId="0" fontId="0" fillId="0" borderId="0" xfId="0" applyAlignment="1">
      <alignment horizontal="center" vertical="center"/>
    </xf>
    <xf numFmtId="0" fontId="7" fillId="0" borderId="0" xfId="0" applyFont="1" applyAlignment="1">
      <alignment horizontal="center" vertical="center"/>
    </xf>
    <xf numFmtId="0" fontId="0" fillId="5" borderId="1" xfId="0" applyFill="1" applyBorder="1"/>
    <xf numFmtId="0" fontId="9" fillId="3" borderId="1" xfId="0" applyFont="1" applyFill="1" applyBorder="1" applyAlignment="1">
      <alignment horizontal="center" vertical="center"/>
    </xf>
    <xf numFmtId="0" fontId="0" fillId="5" borderId="8" xfId="0" applyFill="1" applyBorder="1"/>
    <xf numFmtId="0" fontId="0" fillId="0" borderId="3" xfId="0" applyBorder="1" applyAlignment="1">
      <alignment horizontal="center" vertical="center"/>
    </xf>
    <xf numFmtId="9" fontId="0" fillId="0" borderId="1" xfId="0" applyNumberFormat="1" applyBorder="1" applyAlignment="1">
      <alignment horizontal="center" vertical="center"/>
    </xf>
    <xf numFmtId="0" fontId="18" fillId="3" borderId="1" xfId="0" applyFont="1" applyFill="1" applyBorder="1" applyAlignment="1">
      <alignment wrapText="1"/>
    </xf>
    <xf numFmtId="0" fontId="0" fillId="0" borderId="15" xfId="0" applyBorder="1"/>
    <xf numFmtId="0" fontId="0" fillId="0" borderId="16" xfId="0" applyBorder="1"/>
    <xf numFmtId="0" fontId="0" fillId="0" borderId="17" xfId="0" applyBorder="1"/>
    <xf numFmtId="0" fontId="0" fillId="10" borderId="5" xfId="0" applyFill="1" applyBorder="1" applyAlignment="1">
      <alignment horizontal="center" vertical="center"/>
    </xf>
    <xf numFmtId="0" fontId="0" fillId="7" borderId="0" xfId="0" applyFill="1"/>
    <xf numFmtId="0" fontId="20" fillId="2" borderId="13" xfId="0" applyFont="1" applyFill="1" applyBorder="1" applyAlignment="1">
      <alignment horizontal="center" vertical="center"/>
    </xf>
    <xf numFmtId="0" fontId="20" fillId="2" borderId="1" xfId="0" applyFont="1" applyFill="1" applyBorder="1" applyAlignment="1">
      <alignment horizontal="center" vertical="top"/>
    </xf>
    <xf numFmtId="0" fontId="0" fillId="10" borderId="1" xfId="0" applyFill="1" applyBorder="1" applyAlignment="1">
      <alignment horizontal="center" vertical="center"/>
    </xf>
    <xf numFmtId="0" fontId="0" fillId="0" borderId="18" xfId="0" applyBorder="1"/>
    <xf numFmtId="164" fontId="19" fillId="0" borderId="1" xfId="0" applyNumberFormat="1" applyFont="1" applyBorder="1" applyAlignment="1">
      <alignment horizontal="center" vertical="top"/>
    </xf>
    <xf numFmtId="165" fontId="19" fillId="0" borderId="1" xfId="1" applyNumberFormat="1" applyFont="1" applyFill="1" applyBorder="1" applyAlignment="1">
      <alignment horizontal="center" vertical="top"/>
    </xf>
    <xf numFmtId="0" fontId="20" fillId="11" borderId="1" xfId="0" applyFont="1" applyFill="1" applyBorder="1" applyAlignment="1">
      <alignment horizontal="center" vertical="center"/>
    </xf>
    <xf numFmtId="0" fontId="23" fillId="11" borderId="1" xfId="0" applyFont="1" applyFill="1" applyBorder="1" applyAlignment="1">
      <alignment horizontal="center" vertical="top" wrapText="1"/>
    </xf>
    <xf numFmtId="0" fontId="0" fillId="11" borderId="18" xfId="0" applyFill="1" applyBorder="1"/>
    <xf numFmtId="0" fontId="0" fillId="11" borderId="15" xfId="0" applyFill="1" applyBorder="1"/>
    <xf numFmtId="0" fontId="32" fillId="0" borderId="4" xfId="0" applyFont="1" applyBorder="1" applyAlignment="1">
      <alignment vertical="center"/>
    </xf>
    <xf numFmtId="0" fontId="28" fillId="0" borderId="4" xfId="0" applyFont="1" applyBorder="1" applyAlignment="1">
      <alignment vertical="center"/>
    </xf>
    <xf numFmtId="0" fontId="28" fillId="0" borderId="4" xfId="0" applyFont="1" applyBorder="1" applyAlignment="1">
      <alignment horizontal="left" vertical="center"/>
    </xf>
    <xf numFmtId="0" fontId="34" fillId="0" borderId="15" xfId="0" applyFont="1" applyBorder="1" applyAlignment="1">
      <alignment horizontal="left" vertical="center"/>
    </xf>
    <xf numFmtId="0" fontId="32" fillId="0" borderId="15" xfId="0" applyFont="1" applyBorder="1" applyAlignment="1">
      <alignment horizontal="left" vertical="center"/>
    </xf>
    <xf numFmtId="0" fontId="32" fillId="0" borderId="15" xfId="0" applyFont="1" applyBorder="1"/>
    <xf numFmtId="0" fontId="32" fillId="0" borderId="0" xfId="0" applyFont="1"/>
    <xf numFmtId="0" fontId="36" fillId="12" borderId="8" xfId="0" applyFont="1" applyFill="1" applyBorder="1" applyAlignment="1">
      <alignment horizontal="center" vertical="center"/>
    </xf>
    <xf numFmtId="0" fontId="36" fillId="12" borderId="0" xfId="0" applyFont="1" applyFill="1" applyAlignment="1">
      <alignment horizontal="center" vertical="center"/>
    </xf>
    <xf numFmtId="0" fontId="32" fillId="0" borderId="1" xfId="0" applyFont="1" applyBorder="1" applyAlignment="1">
      <alignment vertical="center"/>
    </xf>
    <xf numFmtId="0" fontId="32" fillId="0" borderId="1" xfId="0" applyFont="1" applyBorder="1" applyAlignment="1">
      <alignment vertical="center" wrapText="1"/>
    </xf>
    <xf numFmtId="0" fontId="32" fillId="0" borderId="1" xfId="0" applyFont="1" applyBorder="1" applyAlignment="1">
      <alignment horizontal="left" vertical="center" wrapText="1"/>
    </xf>
    <xf numFmtId="0" fontId="32" fillId="0" borderId="0" xfId="0" applyFont="1" applyAlignment="1">
      <alignment vertical="center"/>
    </xf>
    <xf numFmtId="0" fontId="32" fillId="0" borderId="5" xfId="0" applyFont="1" applyBorder="1" applyAlignment="1">
      <alignment horizontal="left" vertical="center"/>
    </xf>
    <xf numFmtId="0" fontId="32" fillId="0" borderId="6" xfId="0" applyFont="1" applyBorder="1" applyAlignment="1">
      <alignment horizontal="left" vertical="center"/>
    </xf>
    <xf numFmtId="0" fontId="32" fillId="0" borderId="3" xfId="0" applyFont="1" applyBorder="1" applyAlignment="1">
      <alignment horizontal="left" vertical="center"/>
    </xf>
    <xf numFmtId="0" fontId="32" fillId="0" borderId="0" xfId="0" applyFont="1" applyAlignment="1">
      <alignment horizontal="left" vertical="center"/>
    </xf>
    <xf numFmtId="0" fontId="32" fillId="0" borderId="0" xfId="0" applyFont="1" applyAlignment="1">
      <alignment horizontal="center" vertical="center"/>
    </xf>
    <xf numFmtId="0" fontId="37" fillId="0" borderId="0" xfId="0" applyFont="1" applyAlignment="1">
      <alignment vertical="center" wrapText="1"/>
    </xf>
    <xf numFmtId="0" fontId="38" fillId="12" borderId="5" xfId="0" applyFont="1" applyFill="1" applyBorder="1" applyAlignment="1">
      <alignment horizontal="center" vertical="center"/>
    </xf>
    <xf numFmtId="0" fontId="38" fillId="12" borderId="1" xfId="0" applyFont="1" applyFill="1" applyBorder="1" applyAlignment="1">
      <alignment horizontal="center" vertical="center"/>
    </xf>
    <xf numFmtId="0" fontId="32" fillId="0" borderId="5" xfId="0" applyFont="1" applyBorder="1" applyAlignment="1">
      <alignment horizontal="center" vertical="center"/>
    </xf>
    <xf numFmtId="9" fontId="32" fillId="0" borderId="1" xfId="0" applyNumberFormat="1" applyFont="1" applyBorder="1" applyAlignment="1">
      <alignment horizontal="center" vertical="center"/>
    </xf>
    <xf numFmtId="0" fontId="32" fillId="0" borderId="1" xfId="0" applyFont="1" applyBorder="1" applyAlignment="1">
      <alignment horizontal="center" vertical="center"/>
    </xf>
    <xf numFmtId="0" fontId="32" fillId="0" borderId="3" xfId="0" applyFont="1" applyBorder="1" applyAlignment="1">
      <alignment horizontal="center" vertical="center"/>
    </xf>
    <xf numFmtId="0" fontId="39" fillId="0" borderId="0" xfId="0" applyFont="1" applyAlignment="1">
      <alignment horizontal="center" vertical="center"/>
    </xf>
    <xf numFmtId="0" fontId="39" fillId="0" borderId="0" xfId="0" applyFont="1" applyAlignment="1">
      <alignment horizontal="center" vertical="center" wrapText="1"/>
    </xf>
    <xf numFmtId="9" fontId="39" fillId="0" borderId="0" xfId="0" applyNumberFormat="1" applyFont="1" applyAlignment="1">
      <alignment horizontal="center" vertical="center"/>
    </xf>
    <xf numFmtId="9" fontId="32" fillId="0" borderId="0" xfId="0" applyNumberFormat="1" applyFont="1" applyAlignment="1">
      <alignment horizontal="center" vertical="center"/>
    </xf>
    <xf numFmtId="0" fontId="41" fillId="12" borderId="1" xfId="0" applyFont="1" applyFill="1" applyBorder="1" applyAlignment="1">
      <alignment vertical="center"/>
    </xf>
    <xf numFmtId="0" fontId="32" fillId="0" borderId="0" xfId="0" applyFont="1" applyAlignment="1">
      <alignment vertical="center" wrapText="1"/>
    </xf>
    <xf numFmtId="0" fontId="40" fillId="0" borderId="0" xfId="0" applyFont="1" applyAlignment="1">
      <alignment vertical="center" wrapText="1"/>
    </xf>
    <xf numFmtId="0" fontId="44" fillId="0" borderId="5" xfId="0" applyFont="1" applyBorder="1" applyAlignment="1">
      <alignment horizontal="center"/>
    </xf>
    <xf numFmtId="0" fontId="44" fillId="0" borderId="6" xfId="0" applyFont="1" applyBorder="1" applyAlignment="1">
      <alignment horizontal="center"/>
    </xf>
    <xf numFmtId="0" fontId="44" fillId="0" borderId="3" xfId="0" applyFont="1" applyBorder="1" applyAlignment="1">
      <alignment horizontal="center"/>
    </xf>
    <xf numFmtId="0" fontId="42" fillId="12" borderId="13" xfId="0" applyFont="1" applyFill="1" applyBorder="1" applyAlignment="1">
      <alignment horizontal="center" vertical="center"/>
    </xf>
    <xf numFmtId="0" fontId="42" fillId="12" borderId="13" xfId="0" applyFont="1" applyFill="1" applyBorder="1" applyAlignment="1">
      <alignment horizontal="center" vertical="center" wrapText="1"/>
    </xf>
    <xf numFmtId="0" fontId="40" fillId="0" borderId="0" xfId="0" applyFont="1"/>
    <xf numFmtId="0" fontId="40" fillId="0" borderId="5" xfId="0" applyFont="1" applyBorder="1" applyAlignment="1">
      <alignment horizontal="center" vertical="center"/>
    </xf>
    <xf numFmtId="164" fontId="40" fillId="0" borderId="1" xfId="0" applyNumberFormat="1" applyFont="1" applyBorder="1" applyAlignment="1">
      <alignment horizontal="center" vertical="top"/>
    </xf>
    <xf numFmtId="165" fontId="40" fillId="0" borderId="1" xfId="1" applyNumberFormat="1" applyFont="1" applyFill="1" applyBorder="1" applyAlignment="1">
      <alignment horizontal="center" vertical="top"/>
    </xf>
    <xf numFmtId="0" fontId="28" fillId="2" borderId="0" xfId="0" applyFont="1" applyFill="1"/>
    <xf numFmtId="0" fontId="47" fillId="0" borderId="24" xfId="0" applyFont="1" applyBorder="1" applyAlignment="1">
      <alignment vertical="top"/>
    </xf>
    <xf numFmtId="0" fontId="32" fillId="0" borderId="19" xfId="0" applyFont="1" applyBorder="1" applyAlignment="1">
      <alignment vertical="top"/>
    </xf>
    <xf numFmtId="0" fontId="32" fillId="0" borderId="20" xfId="0" applyFont="1" applyBorder="1" applyAlignment="1">
      <alignment vertical="top"/>
    </xf>
    <xf numFmtId="0" fontId="32" fillId="0" borderId="0" xfId="0" applyFont="1" applyAlignment="1">
      <alignment vertical="top"/>
    </xf>
    <xf numFmtId="0" fontId="32" fillId="0" borderId="23" xfId="0" applyFont="1" applyBorder="1" applyAlignment="1">
      <alignment vertical="top"/>
    </xf>
    <xf numFmtId="0" fontId="32" fillId="0" borderId="18" xfId="0" applyFont="1" applyBorder="1" applyAlignment="1">
      <alignment vertical="top"/>
    </xf>
    <xf numFmtId="0" fontId="48" fillId="0" borderId="23" xfId="0" applyFont="1" applyBorder="1" applyAlignment="1">
      <alignment vertical="top"/>
    </xf>
    <xf numFmtId="0" fontId="32" fillId="0" borderId="25" xfId="0" applyFont="1" applyBorder="1" applyAlignment="1">
      <alignment vertical="top"/>
    </xf>
    <xf numFmtId="0" fontId="32" fillId="0" borderId="26" xfId="0" applyFont="1" applyBorder="1" applyAlignment="1">
      <alignment vertical="top"/>
    </xf>
    <xf numFmtId="0" fontId="32" fillId="0" borderId="21" xfId="0" applyFont="1" applyBorder="1" applyAlignment="1">
      <alignment vertical="top"/>
    </xf>
    <xf numFmtId="0" fontId="32" fillId="0" borderId="22" xfId="0" applyFont="1" applyBorder="1" applyAlignment="1">
      <alignment vertical="top"/>
    </xf>
    <xf numFmtId="0" fontId="48" fillId="0" borderId="0" xfId="0" applyFont="1" applyAlignment="1">
      <alignment vertical="top"/>
    </xf>
    <xf numFmtId="0" fontId="49" fillId="0" borderId="0" xfId="2" applyFont="1" applyAlignment="1">
      <alignment vertical="top"/>
    </xf>
    <xf numFmtId="0" fontId="30" fillId="0" borderId="0" xfId="0" applyFont="1" applyAlignment="1">
      <alignment vertical="top"/>
    </xf>
    <xf numFmtId="0" fontId="39" fillId="0" borderId="0" xfId="0" applyFont="1" applyAlignment="1">
      <alignment vertical="top"/>
    </xf>
    <xf numFmtId="0" fontId="28" fillId="0" borderId="0" xfId="0" applyFont="1"/>
    <xf numFmtId="0" fontId="29" fillId="3" borderId="1" xfId="0" applyFont="1" applyFill="1" applyBorder="1" applyAlignment="1">
      <alignment horizontal="center" vertical="center" wrapText="1"/>
    </xf>
    <xf numFmtId="0" fontId="32" fillId="0" borderId="0" xfId="0" applyFont="1" applyAlignment="1">
      <alignment horizontal="center"/>
    </xf>
    <xf numFmtId="0" fontId="46" fillId="0" borderId="11" xfId="0" applyFont="1" applyBorder="1" applyAlignment="1">
      <alignment vertical="center" wrapText="1"/>
    </xf>
    <xf numFmtId="0" fontId="46" fillId="0" borderId="0" xfId="0" applyFont="1" applyAlignment="1">
      <alignment vertical="center" wrapText="1"/>
    </xf>
    <xf numFmtId="0" fontId="40" fillId="0" borderId="0" xfId="0" applyFont="1" applyAlignment="1">
      <alignment vertical="center"/>
    </xf>
    <xf numFmtId="0" fontId="4" fillId="0" borderId="0" xfId="0" applyFont="1"/>
    <xf numFmtId="0" fontId="50" fillId="2" borderId="0" xfId="0" applyFont="1" applyFill="1"/>
    <xf numFmtId="17" fontId="50" fillId="2" borderId="0" xfId="0" applyNumberFormat="1" applyFont="1" applyFill="1"/>
    <xf numFmtId="0" fontId="54" fillId="0" borderId="5" xfId="0" applyFont="1" applyBorder="1" applyAlignment="1">
      <alignment horizontal="center" vertical="center"/>
    </xf>
    <xf numFmtId="165" fontId="54" fillId="0" borderId="1" xfId="1" applyNumberFormat="1" applyFont="1" applyFill="1" applyBorder="1" applyAlignment="1">
      <alignment horizontal="center" vertical="top"/>
    </xf>
    <xf numFmtId="0" fontId="55" fillId="0" borderId="0" xfId="0" applyFont="1"/>
    <xf numFmtId="0" fontId="51" fillId="0" borderId="3" xfId="0" applyFont="1" applyBorder="1" applyAlignment="1">
      <alignment horizontal="left" vertical="center" wrapText="1"/>
    </xf>
    <xf numFmtId="165" fontId="32" fillId="0" borderId="0" xfId="1" applyNumberFormat="1" applyFont="1"/>
    <xf numFmtId="10" fontId="32" fillId="0" borderId="0" xfId="1" applyNumberFormat="1" applyFont="1"/>
    <xf numFmtId="0" fontId="3" fillId="0" borderId="0" xfId="0" applyFont="1"/>
    <xf numFmtId="0" fontId="3" fillId="0" borderId="0" xfId="0" applyFont="1" applyAlignment="1">
      <alignment horizontal="left" wrapText="1"/>
    </xf>
    <xf numFmtId="0" fontId="3" fillId="0" borderId="0" xfId="0" applyFont="1" applyAlignment="1">
      <alignment horizontal="left" vertical="center" wrapText="1"/>
    </xf>
    <xf numFmtId="0" fontId="56" fillId="0" borderId="0" xfId="0" applyFont="1" applyAlignment="1">
      <alignment horizontal="left" wrapText="1"/>
    </xf>
    <xf numFmtId="0" fontId="3" fillId="0" borderId="11" xfId="0" applyFont="1" applyBorder="1" applyAlignment="1">
      <alignment horizontal="left" vertical="center" wrapText="1"/>
    </xf>
    <xf numFmtId="0" fontId="9" fillId="13" borderId="5" xfId="0" applyFont="1" applyFill="1" applyBorder="1" applyAlignment="1">
      <alignment vertical="center" wrapText="1"/>
    </xf>
    <xf numFmtId="0" fontId="9" fillId="13" borderId="6" xfId="0" applyFont="1" applyFill="1" applyBorder="1" applyAlignment="1">
      <alignment vertical="center" wrapText="1"/>
    </xf>
    <xf numFmtId="0" fontId="9" fillId="13" borderId="6" xfId="0" applyFont="1" applyFill="1" applyBorder="1" applyAlignment="1">
      <alignment horizontal="center" vertical="center" wrapText="1"/>
    </xf>
    <xf numFmtId="0" fontId="9" fillId="14" borderId="3" xfId="0" applyFont="1" applyFill="1" applyBorder="1" applyAlignment="1">
      <alignment horizontal="center" vertical="center" wrapText="1"/>
    </xf>
    <xf numFmtId="0" fontId="3" fillId="0" borderId="4" xfId="0" applyFont="1" applyBorder="1" applyAlignment="1">
      <alignment horizontal="left" wrapText="1"/>
    </xf>
    <xf numFmtId="0" fontId="3" fillId="0" borderId="10" xfId="0" applyFont="1" applyBorder="1" applyAlignment="1">
      <alignment vertical="center" wrapText="1"/>
    </xf>
    <xf numFmtId="0" fontId="3" fillId="0" borderId="14" xfId="0" applyFont="1" applyBorder="1" applyAlignment="1">
      <alignment horizontal="left" wrapText="1"/>
    </xf>
    <xf numFmtId="0" fontId="3" fillId="0" borderId="28" xfId="0" applyFont="1" applyBorder="1" applyAlignment="1">
      <alignment vertical="center" wrapText="1"/>
    </xf>
    <xf numFmtId="0" fontId="0" fillId="0" borderId="0" xfId="0" applyAlignment="1">
      <alignment horizontal="center" wrapText="1"/>
    </xf>
    <xf numFmtId="0" fontId="56" fillId="0" borderId="0" xfId="0" applyFont="1" applyAlignment="1">
      <alignment horizontal="left"/>
    </xf>
    <xf numFmtId="0" fontId="3" fillId="0" borderId="4" xfId="0" applyFont="1" applyBorder="1" applyAlignment="1">
      <alignment horizontal="center" wrapText="1"/>
    </xf>
    <xf numFmtId="0" fontId="3" fillId="0" borderId="14" xfId="0" applyFont="1" applyBorder="1" applyAlignment="1">
      <alignment horizontal="center" wrapText="1"/>
    </xf>
    <xf numFmtId="0" fontId="3" fillId="0" borderId="0" xfId="0" applyFont="1" applyBorder="1"/>
    <xf numFmtId="0" fontId="3" fillId="0" borderId="4" xfId="0" applyFont="1" applyBorder="1"/>
    <xf numFmtId="0" fontId="3" fillId="0" borderId="10" xfId="0" applyFont="1" applyBorder="1"/>
    <xf numFmtId="0" fontId="3" fillId="0" borderId="7" xfId="0" applyFont="1" applyBorder="1"/>
    <xf numFmtId="0" fontId="3" fillId="0" borderId="14" xfId="0" applyFont="1" applyBorder="1"/>
    <xf numFmtId="0" fontId="3" fillId="0" borderId="28" xfId="0" applyFont="1" applyBorder="1"/>
    <xf numFmtId="3" fontId="3" fillId="0" borderId="4" xfId="0" applyNumberFormat="1" applyFont="1" applyBorder="1" applyAlignment="1">
      <alignment horizontal="center" wrapText="1"/>
    </xf>
    <xf numFmtId="3" fontId="3" fillId="0" borderId="14" xfId="0" applyNumberFormat="1" applyFont="1" applyBorder="1" applyAlignment="1">
      <alignment horizontal="center" wrapText="1"/>
    </xf>
    <xf numFmtId="3" fontId="3" fillId="0" borderId="10" xfId="0" applyNumberFormat="1" applyFont="1" applyBorder="1" applyAlignment="1">
      <alignment horizontal="center" vertical="center" wrapText="1"/>
    </xf>
    <xf numFmtId="3" fontId="3" fillId="0" borderId="28" xfId="0" applyNumberFormat="1" applyFont="1" applyBorder="1" applyAlignment="1">
      <alignment horizontal="center" vertical="center" wrapText="1"/>
    </xf>
    <xf numFmtId="0" fontId="2" fillId="0" borderId="0" xfId="0" applyFont="1"/>
    <xf numFmtId="3" fontId="3" fillId="0" borderId="4" xfId="0" applyNumberFormat="1" applyFont="1" applyBorder="1" applyAlignment="1">
      <alignment horizontal="center" vertical="center" wrapText="1"/>
    </xf>
    <xf numFmtId="0" fontId="3" fillId="0" borderId="4" xfId="0" applyFont="1" applyBorder="1" applyAlignment="1">
      <alignment horizontal="center" vertical="center" wrapText="1"/>
    </xf>
    <xf numFmtId="3" fontId="3" fillId="0" borderId="14" xfId="0" applyNumberFormat="1" applyFont="1" applyBorder="1" applyAlignment="1">
      <alignment horizontal="center" vertical="center" wrapText="1"/>
    </xf>
    <xf numFmtId="0" fontId="3" fillId="0" borderId="0"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0" xfId="0" applyFont="1" applyAlignment="1">
      <alignment horizontal="center" wrapText="1"/>
    </xf>
    <xf numFmtId="0" fontId="3" fillId="0" borderId="0" xfId="0" applyFont="1" applyAlignment="1">
      <alignment horizontal="center"/>
    </xf>
    <xf numFmtId="166" fontId="3" fillId="0" borderId="4" xfId="0" applyNumberFormat="1" applyFont="1" applyBorder="1" applyAlignment="1">
      <alignment horizontal="left" wrapText="1"/>
    </xf>
    <xf numFmtId="166" fontId="3" fillId="0" borderId="14" xfId="0" applyNumberFormat="1" applyFont="1" applyBorder="1" applyAlignment="1">
      <alignment horizontal="left" wrapText="1"/>
    </xf>
    <xf numFmtId="0" fontId="2" fillId="0" borderId="0" xfId="0" applyFont="1" applyAlignment="1">
      <alignment horizontal="left" vertical="center" wrapText="1"/>
    </xf>
    <xf numFmtId="0" fontId="9" fillId="13" borderId="3" xfId="0" applyFont="1" applyFill="1" applyBorder="1" applyAlignment="1">
      <alignment horizontal="center" vertical="center" wrapText="1"/>
    </xf>
    <xf numFmtId="0" fontId="2" fillId="0" borderId="11" xfId="0" applyFont="1" applyBorder="1"/>
    <xf numFmtId="166" fontId="3" fillId="0" borderId="0" xfId="0" applyNumberFormat="1" applyFont="1" applyBorder="1" applyAlignment="1">
      <alignment horizontal="center"/>
    </xf>
    <xf numFmtId="165" fontId="59" fillId="0" borderId="14" xfId="1" applyNumberFormat="1" applyFont="1" applyBorder="1" applyAlignment="1">
      <alignment horizontal="center"/>
    </xf>
    <xf numFmtId="9" fontId="59" fillId="0" borderId="28" xfId="1" applyFont="1" applyBorder="1" applyAlignment="1">
      <alignment horizontal="center"/>
    </xf>
    <xf numFmtId="0" fontId="59" fillId="0" borderId="27" xfId="0" applyFont="1" applyBorder="1" applyAlignment="1">
      <alignment horizontal="left"/>
    </xf>
    <xf numFmtId="0" fontId="2" fillId="0" borderId="11" xfId="0" applyFont="1" applyBorder="1" applyAlignment="1">
      <alignment horizontal="left"/>
    </xf>
    <xf numFmtId="10" fontId="3" fillId="15" borderId="0" xfId="0" applyNumberFormat="1" applyFont="1" applyFill="1" applyAlignment="1">
      <alignment horizontal="left" wrapText="1"/>
    </xf>
    <xf numFmtId="9" fontId="3" fillId="0" borderId="0" xfId="1" applyFont="1" applyFill="1" applyAlignment="1">
      <alignment horizontal="center" wrapText="1"/>
    </xf>
    <xf numFmtId="0" fontId="9" fillId="13" borderId="6" xfId="0" applyFont="1" applyFill="1" applyBorder="1" applyAlignment="1">
      <alignment horizontal="left" vertical="center" wrapText="1"/>
    </xf>
    <xf numFmtId="166" fontId="3" fillId="0" borderId="0" xfId="0" applyNumberFormat="1" applyFont="1" applyBorder="1" applyAlignment="1">
      <alignment horizontal="left"/>
    </xf>
    <xf numFmtId="165" fontId="59" fillId="0" borderId="14" xfId="1" applyNumberFormat="1" applyFont="1" applyBorder="1" applyAlignment="1">
      <alignment horizontal="left"/>
    </xf>
    <xf numFmtId="0" fontId="50" fillId="2" borderId="4" xfId="0" applyFont="1" applyFill="1" applyBorder="1"/>
    <xf numFmtId="0" fontId="50" fillId="2" borderId="10" xfId="0" applyFont="1" applyFill="1" applyBorder="1"/>
    <xf numFmtId="0" fontId="56" fillId="0" borderId="0" xfId="0" applyFont="1"/>
    <xf numFmtId="166" fontId="3" fillId="16" borderId="7" xfId="0" applyNumberFormat="1" applyFont="1" applyFill="1" applyBorder="1" applyAlignment="1">
      <alignment horizontal="center"/>
    </xf>
    <xf numFmtId="165" fontId="3" fillId="15" borderId="0" xfId="0" applyNumberFormat="1" applyFont="1" applyFill="1"/>
    <xf numFmtId="165" fontId="3" fillId="0" borderId="0" xfId="0" applyNumberFormat="1" applyFont="1" applyFill="1"/>
    <xf numFmtId="0" fontId="3" fillId="0" borderId="9" xfId="0" applyFont="1" applyBorder="1" applyAlignment="1">
      <alignment horizontal="left" vertical="center" wrapText="1"/>
    </xf>
    <xf numFmtId="0" fontId="3" fillId="0" borderId="27" xfId="0" applyFont="1" applyBorder="1" applyAlignment="1">
      <alignment horizontal="left" vertical="center" wrapText="1"/>
    </xf>
    <xf numFmtId="0" fontId="3" fillId="0" borderId="4" xfId="0" applyFont="1" applyBorder="1" applyAlignment="1">
      <alignment horizontal="left" vertical="center" wrapText="1"/>
    </xf>
    <xf numFmtId="0" fontId="3" fillId="0" borderId="14" xfId="0" applyFont="1" applyBorder="1" applyAlignment="1">
      <alignment horizontal="left" vertical="center" wrapText="1"/>
    </xf>
    <xf numFmtId="0" fontId="3" fillId="0" borderId="0" xfId="0" applyFont="1" applyBorder="1" applyAlignment="1">
      <alignment horizontal="left" vertical="center" wrapText="1"/>
    </xf>
    <xf numFmtId="3" fontId="3" fillId="0" borderId="0" xfId="0" applyNumberFormat="1" applyFont="1"/>
    <xf numFmtId="167" fontId="32" fillId="0" borderId="0" xfId="0" applyNumberFormat="1" applyFont="1"/>
    <xf numFmtId="168" fontId="54" fillId="0" borderId="1" xfId="0" applyNumberFormat="1" applyFont="1" applyBorder="1" applyAlignment="1">
      <alignment horizontal="center" vertical="top"/>
    </xf>
    <xf numFmtId="0" fontId="1" fillId="0" borderId="0" xfId="0" applyFont="1"/>
    <xf numFmtId="0" fontId="4" fillId="0" borderId="0" xfId="0" applyFont="1" applyAlignment="1">
      <alignment horizontal="center"/>
    </xf>
    <xf numFmtId="17" fontId="50" fillId="2" borderId="0" xfId="0" applyNumberFormat="1" applyFont="1" applyFill="1" applyAlignment="1">
      <alignment horizontal="center"/>
    </xf>
    <xf numFmtId="0" fontId="55" fillId="0" borderId="0" xfId="0" applyFont="1" applyAlignment="1">
      <alignment horizontal="center"/>
    </xf>
    <xf numFmtId="0" fontId="19" fillId="0" borderId="0" xfId="0" applyFont="1"/>
    <xf numFmtId="0" fontId="19" fillId="0" borderId="0" xfId="0" applyFont="1" applyAlignment="1">
      <alignment horizontal="center"/>
    </xf>
    <xf numFmtId="0" fontId="19" fillId="0" borderId="0" xfId="0" applyFont="1" applyAlignment="1">
      <alignment horizontal="left" indent="1"/>
    </xf>
    <xf numFmtId="3" fontId="19" fillId="0" borderId="0" xfId="0" applyNumberFormat="1" applyFont="1"/>
    <xf numFmtId="4" fontId="19" fillId="0" borderId="0" xfId="0" applyNumberFormat="1" applyFont="1"/>
    <xf numFmtId="0" fontId="1" fillId="0" borderId="11" xfId="0" applyFont="1" applyBorder="1" applyAlignment="1">
      <alignment horizontal="left" vertical="center" wrapText="1"/>
    </xf>
    <xf numFmtId="0" fontId="60" fillId="0" borderId="0" xfId="3" applyFont="1" applyBorder="1" applyAlignment="1">
      <alignment horizontal="center" vertical="center" wrapText="1"/>
    </xf>
    <xf numFmtId="0" fontId="60" fillId="0" borderId="0" xfId="0" applyFont="1" applyBorder="1"/>
    <xf numFmtId="0" fontId="60" fillId="0" borderId="0" xfId="0" applyFont="1" applyBorder="1" applyAlignment="1">
      <alignment horizontal="center"/>
    </xf>
    <xf numFmtId="0" fontId="60" fillId="0" borderId="9" xfId="3" applyFont="1" applyBorder="1" applyAlignment="1">
      <alignment horizontal="left" vertical="center" wrapText="1"/>
    </xf>
    <xf numFmtId="0" fontId="60" fillId="0" borderId="4" xfId="3" applyFont="1" applyBorder="1" applyAlignment="1">
      <alignment horizontal="center" vertical="center" wrapText="1"/>
    </xf>
    <xf numFmtId="0" fontId="60" fillId="0" borderId="4" xfId="3" applyFont="1" applyBorder="1" applyAlignment="1">
      <alignment horizontal="left" vertical="center"/>
    </xf>
    <xf numFmtId="0" fontId="60" fillId="0" borderId="4" xfId="3" applyFont="1" applyBorder="1"/>
    <xf numFmtId="0" fontId="60" fillId="0" borderId="4" xfId="3" applyFont="1" applyBorder="1" applyAlignment="1">
      <alignment horizontal="center"/>
    </xf>
    <xf numFmtId="0" fontId="60" fillId="0" borderId="4" xfId="0" applyFont="1" applyBorder="1"/>
    <xf numFmtId="0" fontId="60" fillId="0" borderId="10" xfId="0" applyFont="1" applyBorder="1"/>
    <xf numFmtId="0" fontId="60" fillId="0" borderId="11" xfId="3" applyFont="1" applyBorder="1" applyAlignment="1">
      <alignment horizontal="left" vertical="center" wrapText="1"/>
    </xf>
    <xf numFmtId="0" fontId="60" fillId="0" borderId="7" xfId="0" applyFont="1" applyBorder="1"/>
    <xf numFmtId="0" fontId="60" fillId="0" borderId="11" xfId="0" applyFont="1" applyBorder="1"/>
    <xf numFmtId="0" fontId="60" fillId="0" borderId="27" xfId="0" applyFont="1" applyBorder="1"/>
    <xf numFmtId="9" fontId="60" fillId="0" borderId="14" xfId="0" applyNumberFormat="1" applyFont="1" applyBorder="1" applyAlignment="1">
      <alignment horizontal="center"/>
    </xf>
    <xf numFmtId="0" fontId="60" fillId="0" borderId="14" xfId="0" applyFont="1" applyBorder="1" applyAlignment="1">
      <alignment horizontal="center"/>
    </xf>
    <xf numFmtId="0" fontId="60" fillId="0" borderId="14" xfId="0" applyFont="1" applyBorder="1"/>
    <xf numFmtId="0" fontId="60" fillId="0" borderId="28" xfId="0" applyFont="1" applyBorder="1"/>
    <xf numFmtId="0" fontId="1" fillId="0" borderId="27" xfId="0" applyFont="1" applyBorder="1"/>
    <xf numFmtId="0" fontId="4" fillId="0" borderId="14" xfId="0" applyFont="1" applyBorder="1" applyAlignment="1">
      <alignment horizontal="left"/>
    </xf>
    <xf numFmtId="0" fontId="1" fillId="0" borderId="14" xfId="0" applyFont="1" applyBorder="1" applyAlignment="1">
      <alignment horizontal="left" vertical="center"/>
    </xf>
    <xf numFmtId="0" fontId="3" fillId="0" borderId="14" xfId="0" applyFont="1" applyBorder="1" applyAlignment="1">
      <alignment horizontal="left"/>
    </xf>
    <xf numFmtId="0" fontId="3" fillId="0" borderId="28" xfId="0" applyFont="1" applyBorder="1" applyAlignment="1">
      <alignment horizontal="left"/>
    </xf>
    <xf numFmtId="0" fontId="61" fillId="0" borderId="0" xfId="0" applyFont="1" applyAlignment="1">
      <alignment horizontal="left" indent="1"/>
    </xf>
    <xf numFmtId="0" fontId="61" fillId="0" borderId="0" xfId="0" applyFont="1"/>
    <xf numFmtId="3" fontId="61" fillId="0" borderId="0" xfId="0" applyNumberFormat="1" applyFont="1"/>
    <xf numFmtId="0" fontId="60" fillId="15" borderId="4" xfId="3" applyFont="1" applyFill="1" applyBorder="1" applyAlignment="1">
      <alignment horizontal="center" vertical="center" wrapText="1"/>
    </xf>
    <xf numFmtId="3" fontId="19" fillId="15" borderId="0" xfId="0" applyNumberFormat="1" applyFont="1" applyFill="1"/>
    <xf numFmtId="0" fontId="1" fillId="0" borderId="0" xfId="0" applyFont="1" applyAlignment="1">
      <alignment horizontal="left"/>
    </xf>
    <xf numFmtId="0" fontId="62" fillId="0" borderId="0" xfId="0" applyFont="1" applyAlignment="1">
      <alignment horizontal="left" indent="1"/>
    </xf>
    <xf numFmtId="3" fontId="62" fillId="0" borderId="0" xfId="0" applyNumberFormat="1" applyFont="1"/>
    <xf numFmtId="0" fontId="19" fillId="17" borderId="0" xfId="0" applyFont="1" applyFill="1"/>
    <xf numFmtId="0" fontId="19" fillId="17" borderId="0" xfId="0" applyFont="1" applyFill="1" applyAlignment="1">
      <alignment horizontal="center"/>
    </xf>
    <xf numFmtId="4" fontId="19" fillId="17" borderId="0" xfId="0" applyNumberFormat="1" applyFont="1" applyFill="1"/>
    <xf numFmtId="3" fontId="19" fillId="0" borderId="0" xfId="0" applyNumberFormat="1" applyFont="1" applyAlignment="1">
      <alignment horizontal="right"/>
    </xf>
    <xf numFmtId="0" fontId="59" fillId="0" borderId="0" xfId="0" applyFont="1" applyAlignment="1">
      <alignment horizontal="left" indent="2"/>
    </xf>
    <xf numFmtId="3" fontId="59" fillId="0" borderId="0" xfId="0" applyNumberFormat="1" applyFont="1"/>
    <xf numFmtId="10" fontId="59" fillId="0" borderId="0" xfId="1" applyNumberFormat="1" applyFont="1"/>
    <xf numFmtId="166" fontId="3" fillId="0" borderId="4" xfId="0" applyNumberFormat="1" applyFont="1" applyBorder="1" applyAlignment="1">
      <alignment horizontal="center" wrapText="1"/>
    </xf>
    <xf numFmtId="166" fontId="3" fillId="0" borderId="10" xfId="0" applyNumberFormat="1" applyFont="1" applyBorder="1" applyAlignment="1">
      <alignment vertical="center" wrapText="1"/>
    </xf>
    <xf numFmtId="166" fontId="3" fillId="0" borderId="14" xfId="0" applyNumberFormat="1" applyFont="1" applyBorder="1" applyAlignment="1">
      <alignment horizontal="center" wrapText="1"/>
    </xf>
    <xf numFmtId="166" fontId="3" fillId="0" borderId="28" xfId="0" applyNumberFormat="1" applyFont="1" applyBorder="1" applyAlignment="1">
      <alignment vertical="center" wrapText="1"/>
    </xf>
    <xf numFmtId="170" fontId="3" fillId="0" borderId="4" xfId="0" applyNumberFormat="1" applyFont="1" applyBorder="1" applyAlignment="1">
      <alignment horizontal="left" wrapText="1"/>
    </xf>
    <xf numFmtId="170" fontId="3" fillId="0" borderId="4" xfId="0" applyNumberFormat="1" applyFont="1" applyBorder="1" applyAlignment="1">
      <alignment horizontal="center" wrapText="1"/>
    </xf>
    <xf numFmtId="170" fontId="3" fillId="0" borderId="10" xfId="0" applyNumberFormat="1" applyFont="1" applyBorder="1" applyAlignment="1">
      <alignment vertical="center" wrapText="1"/>
    </xf>
    <xf numFmtId="170" fontId="3" fillId="0" borderId="14" xfId="0" applyNumberFormat="1" applyFont="1" applyBorder="1" applyAlignment="1">
      <alignment horizontal="left" wrapText="1"/>
    </xf>
    <xf numFmtId="170" fontId="3" fillId="0" borderId="14" xfId="0" applyNumberFormat="1" applyFont="1" applyBorder="1" applyAlignment="1">
      <alignment horizontal="center" wrapText="1"/>
    </xf>
    <xf numFmtId="170" fontId="3" fillId="0" borderId="28" xfId="0" applyNumberFormat="1" applyFont="1" applyBorder="1" applyAlignment="1">
      <alignment vertical="center" wrapText="1"/>
    </xf>
    <xf numFmtId="165" fontId="60" fillId="0" borderId="0" xfId="3" applyNumberFormat="1" applyFont="1" applyBorder="1" applyAlignment="1">
      <alignment horizontal="center" vertical="center" wrapText="1"/>
    </xf>
    <xf numFmtId="165" fontId="3" fillId="15" borderId="0" xfId="1" applyNumberFormat="1" applyFont="1" applyFill="1" applyAlignment="1">
      <alignment horizontal="center"/>
    </xf>
    <xf numFmtId="165" fontId="3" fillId="0" borderId="0" xfId="0" applyNumberFormat="1" applyFont="1" applyBorder="1" applyAlignment="1">
      <alignment horizontal="left" vertical="center" wrapText="1"/>
    </xf>
    <xf numFmtId="0" fontId="3" fillId="0" borderId="14" xfId="0" applyFont="1" applyBorder="1" applyAlignment="1">
      <alignment horizontal="left" vertical="center"/>
    </xf>
    <xf numFmtId="0" fontId="58" fillId="0" borderId="0" xfId="0" applyFont="1" applyAlignment="1">
      <alignment horizontal="left" vertical="center" wrapText="1"/>
    </xf>
    <xf numFmtId="0" fontId="58" fillId="0" borderId="0" xfId="0" applyFont="1" applyAlignment="1">
      <alignment horizontal="left" wrapText="1"/>
    </xf>
    <xf numFmtId="0" fontId="58" fillId="0" borderId="0" xfId="0" applyFont="1" applyAlignment="1">
      <alignment horizontal="left"/>
    </xf>
    <xf numFmtId="2" fontId="19" fillId="0" borderId="0" xfId="0" applyNumberFormat="1" applyFont="1" applyAlignment="1">
      <alignment horizontal="center"/>
    </xf>
    <xf numFmtId="0" fontId="63" fillId="18" borderId="0" xfId="0" applyFont="1" applyFill="1"/>
    <xf numFmtId="43" fontId="63" fillId="18" borderId="0" xfId="4" applyFont="1" applyFill="1" applyAlignment="1">
      <alignment horizontal="right"/>
    </xf>
    <xf numFmtId="4" fontId="63" fillId="18" borderId="0" xfId="0" applyNumberFormat="1" applyFont="1" applyFill="1"/>
    <xf numFmtId="172" fontId="63" fillId="18" borderId="0" xfId="4" applyNumberFormat="1" applyFont="1" applyFill="1" applyAlignment="1">
      <alignment horizontal="right"/>
    </xf>
    <xf numFmtId="43" fontId="63" fillId="18" borderId="0" xfId="4" applyNumberFormat="1" applyFont="1" applyFill="1" applyAlignment="1">
      <alignment horizontal="right"/>
    </xf>
    <xf numFmtId="0" fontId="64" fillId="2" borderId="0" xfId="0" applyFont="1" applyFill="1"/>
    <xf numFmtId="171" fontId="64" fillId="18" borderId="0" xfId="6" applyNumberFormat="1" applyFont="1" applyFill="1"/>
    <xf numFmtId="0" fontId="64" fillId="18" borderId="0" xfId="0" applyFont="1" applyFill="1"/>
    <xf numFmtId="0" fontId="63" fillId="18" borderId="0" xfId="0" applyFont="1" applyFill="1" applyAlignment="1">
      <alignment horizontal="left" indent="1"/>
    </xf>
    <xf numFmtId="0" fontId="65" fillId="18" borderId="0" xfId="0" applyFont="1" applyFill="1" applyAlignment="1">
      <alignment horizontal="left" indent="2"/>
    </xf>
    <xf numFmtId="43" fontId="66" fillId="18" borderId="0" xfId="4" applyNumberFormat="1" applyFont="1" applyFill="1" applyAlignment="1">
      <alignment horizontal="right"/>
    </xf>
    <xf numFmtId="0" fontId="60" fillId="0" borderId="0" xfId="3" applyFont="1" applyBorder="1" applyAlignment="1">
      <alignment horizontal="left" vertical="center" wrapText="1"/>
    </xf>
    <xf numFmtId="0" fontId="60" fillId="0" borderId="7" xfId="3" applyFont="1" applyBorder="1" applyAlignment="1">
      <alignment horizontal="left" vertical="center" wrapText="1"/>
    </xf>
    <xf numFmtId="166" fontId="18" fillId="0" borderId="11" xfId="0" applyNumberFormat="1" applyFont="1" applyBorder="1" applyAlignment="1">
      <alignment horizontal="center"/>
    </xf>
    <xf numFmtId="166" fontId="18" fillId="0" borderId="0" xfId="0" applyNumberFormat="1" applyFont="1" applyBorder="1" applyAlignment="1">
      <alignment horizontal="center"/>
    </xf>
    <xf numFmtId="0" fontId="2" fillId="0" borderId="9" xfId="0" applyFont="1" applyBorder="1" applyAlignment="1">
      <alignment horizontal="left" vertical="center" wrapText="1"/>
    </xf>
    <xf numFmtId="0" fontId="3" fillId="0" borderId="27" xfId="0" applyFont="1" applyBorder="1" applyAlignment="1">
      <alignment horizontal="left" vertical="center" wrapText="1"/>
    </xf>
    <xf numFmtId="0" fontId="3" fillId="0" borderId="9" xfId="0" applyFont="1" applyBorder="1" applyAlignment="1">
      <alignment horizontal="left" vertical="center" wrapText="1"/>
    </xf>
    <xf numFmtId="0" fontId="57" fillId="0" borderId="9" xfId="0" applyFont="1" applyBorder="1" applyAlignment="1">
      <alignment horizontal="left" vertical="center" wrapText="1"/>
    </xf>
    <xf numFmtId="0" fontId="57" fillId="0" borderId="11" xfId="0" applyFont="1" applyBorder="1" applyAlignment="1">
      <alignment horizontal="left" vertical="center" wrapText="1"/>
    </xf>
    <xf numFmtId="0" fontId="57" fillId="0" borderId="27" xfId="0" applyFont="1" applyBorder="1" applyAlignment="1">
      <alignment horizontal="left" vertical="center" wrapText="1"/>
    </xf>
    <xf numFmtId="0" fontId="3" fillId="0" borderId="4" xfId="0" applyFont="1" applyBorder="1" applyAlignment="1">
      <alignment horizontal="left" vertical="center" wrapText="1"/>
    </xf>
    <xf numFmtId="0" fontId="1" fillId="0" borderId="4" xfId="0" applyFont="1" applyBorder="1" applyAlignment="1">
      <alignment horizontal="left" vertical="center" wrapText="1"/>
    </xf>
    <xf numFmtId="0" fontId="3" fillId="0" borderId="10" xfId="0" applyFont="1" applyBorder="1" applyAlignment="1">
      <alignment horizontal="left" vertical="center" wrapText="1"/>
    </xf>
    <xf numFmtId="0" fontId="1" fillId="0" borderId="0" xfId="0" applyFont="1" applyBorder="1" applyAlignment="1">
      <alignment horizontal="left" vertical="center" wrapText="1"/>
    </xf>
    <xf numFmtId="0" fontId="3" fillId="0" borderId="0" xfId="0" applyFont="1" applyBorder="1" applyAlignment="1">
      <alignment horizontal="left" vertical="center" wrapText="1"/>
    </xf>
    <xf numFmtId="0" fontId="3" fillId="0" borderId="7" xfId="0" applyFont="1" applyBorder="1" applyAlignment="1">
      <alignment horizontal="left" vertical="center" wrapText="1"/>
    </xf>
    <xf numFmtId="0" fontId="1" fillId="0" borderId="7" xfId="0" applyFont="1" applyBorder="1" applyAlignment="1">
      <alignment horizontal="left" vertical="center" wrapText="1"/>
    </xf>
    <xf numFmtId="0" fontId="0" fillId="0" borderId="1" xfId="0" applyBorder="1" applyAlignment="1">
      <alignment horizontal="left" vertical="center" wrapText="1"/>
    </xf>
    <xf numFmtId="0" fontId="0" fillId="0" borderId="9" xfId="0" applyBorder="1" applyAlignment="1">
      <alignment horizontal="center"/>
    </xf>
    <xf numFmtId="0" fontId="0" fillId="0" borderId="4" xfId="0" applyBorder="1" applyAlignment="1">
      <alignment horizontal="center"/>
    </xf>
    <xf numFmtId="0" fontId="10" fillId="0" borderId="1" xfId="0" applyFont="1" applyBorder="1" applyAlignment="1">
      <alignment horizontal="left" vertical="center" wrapText="1" indent="1"/>
    </xf>
    <xf numFmtId="0" fontId="7" fillId="5" borderId="1" xfId="0" applyFont="1" applyFill="1" applyBorder="1" applyAlignment="1">
      <alignment horizontal="center"/>
    </xf>
    <xf numFmtId="0" fontId="0" fillId="0" borderId="1" xfId="0" applyBorder="1" applyAlignment="1">
      <alignment horizontal="left"/>
    </xf>
    <xf numFmtId="0" fontId="7" fillId="5" borderId="1" xfId="0" applyFont="1" applyFill="1" applyBorder="1" applyAlignment="1">
      <alignment horizontal="center" vertical="center"/>
    </xf>
    <xf numFmtId="0" fontId="10" fillId="0" borderId="1" xfId="0" applyFont="1" applyBorder="1" applyAlignment="1">
      <alignment horizontal="left" indent="1"/>
    </xf>
    <xf numFmtId="0" fontId="6" fillId="4" borderId="4" xfId="0" applyFont="1" applyFill="1" applyBorder="1" applyAlignment="1">
      <alignment horizontal="center" vertical="center"/>
    </xf>
    <xf numFmtId="0" fontId="17" fillId="6" borderId="1" xfId="0" applyFont="1" applyFill="1" applyBorder="1" applyAlignment="1">
      <alignment horizontal="center" vertical="center" wrapText="1"/>
    </xf>
    <xf numFmtId="0" fontId="7" fillId="3" borderId="5"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3" xfId="0" applyFont="1" applyFill="1" applyBorder="1" applyAlignment="1">
      <alignment horizontal="center" vertical="center"/>
    </xf>
    <xf numFmtId="0" fontId="0" fillId="0" borderId="1" xfId="0" applyBorder="1" applyAlignment="1">
      <alignment horizontal="center" wrapText="1"/>
    </xf>
    <xf numFmtId="0" fontId="0" fillId="0" borderId="9" xfId="0" applyBorder="1" applyAlignment="1">
      <alignment horizontal="center" wrapText="1"/>
    </xf>
    <xf numFmtId="0" fontId="0" fillId="0" borderId="10" xfId="0" applyBorder="1" applyAlignment="1">
      <alignment horizontal="center" wrapText="1"/>
    </xf>
    <xf numFmtId="0" fontId="12" fillId="0" borderId="9" xfId="0" applyFont="1" applyBorder="1" applyAlignment="1">
      <alignment horizontal="center" wrapText="1"/>
    </xf>
    <xf numFmtId="0" fontId="12" fillId="0" borderId="10" xfId="0" applyFont="1" applyBorder="1" applyAlignment="1">
      <alignment horizontal="center" wrapText="1"/>
    </xf>
    <xf numFmtId="0" fontId="0" fillId="0" borderId="5" xfId="0" applyBorder="1" applyAlignment="1">
      <alignment horizontal="center" wrapText="1"/>
    </xf>
    <xf numFmtId="0" fontId="0" fillId="0" borderId="3" xfId="0" applyBorder="1" applyAlignment="1">
      <alignment horizontal="center" wrapText="1"/>
    </xf>
    <xf numFmtId="0" fontId="12" fillId="0" borderId="5" xfId="0" applyFont="1" applyBorder="1" applyAlignment="1">
      <alignment horizontal="center" wrapText="1"/>
    </xf>
    <xf numFmtId="0" fontId="12" fillId="0" borderId="3" xfId="0" applyFont="1" applyBorder="1" applyAlignment="1">
      <alignment horizontal="center" wrapText="1"/>
    </xf>
    <xf numFmtId="0" fontId="0" fillId="5" borderId="3" xfId="0" applyFill="1" applyBorder="1" applyAlignment="1">
      <alignment horizontal="center" wrapText="1"/>
    </xf>
    <xf numFmtId="0" fontId="0" fillId="5" borderId="1" xfId="0" applyFill="1" applyBorder="1" applyAlignment="1">
      <alignment horizontal="center" wrapText="1"/>
    </xf>
    <xf numFmtId="0" fontId="10" fillId="0" borderId="1" xfId="0" applyFont="1" applyBorder="1" applyAlignment="1">
      <alignment horizontal="center" wrapText="1"/>
    </xf>
    <xf numFmtId="0" fontId="0" fillId="0" borderId="7" xfId="0" applyBorder="1" applyAlignment="1">
      <alignment horizontal="center" vertical="center"/>
    </xf>
    <xf numFmtId="0" fontId="7" fillId="3"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9" fillId="0" borderId="5" xfId="0" applyFont="1" applyBorder="1" applyAlignment="1">
      <alignment horizontal="center" vertical="center"/>
    </xf>
    <xf numFmtId="0" fontId="9" fillId="0" borderId="3" xfId="0" applyFont="1" applyBorder="1" applyAlignment="1">
      <alignment horizontal="center" vertical="center"/>
    </xf>
    <xf numFmtId="0" fontId="9" fillId="5" borderId="1" xfId="0" applyFont="1" applyFill="1" applyBorder="1" applyAlignment="1">
      <alignment horizontal="center" vertical="center"/>
    </xf>
    <xf numFmtId="0" fontId="7" fillId="0" borderId="1" xfId="0" applyFont="1" applyBorder="1" applyAlignment="1">
      <alignment horizontal="center" vertical="center"/>
    </xf>
    <xf numFmtId="0" fontId="16" fillId="4" borderId="5" xfId="0" applyFont="1" applyFill="1" applyBorder="1" applyAlignment="1">
      <alignment horizontal="center" vertical="center"/>
    </xf>
    <xf numFmtId="0" fontId="16" fillId="4" borderId="3" xfId="0" applyFont="1" applyFill="1" applyBorder="1" applyAlignment="1">
      <alignment horizontal="center" vertical="center"/>
    </xf>
    <xf numFmtId="0" fontId="16" fillId="4" borderId="1" xfId="0" applyFont="1" applyFill="1" applyBorder="1" applyAlignment="1">
      <alignment horizontal="center" vertical="center"/>
    </xf>
    <xf numFmtId="0" fontId="9" fillId="5" borderId="5" xfId="0" applyFont="1" applyFill="1" applyBorder="1" applyAlignment="1">
      <alignment horizontal="center" vertical="center"/>
    </xf>
    <xf numFmtId="0" fontId="7" fillId="0" borderId="1" xfId="0" applyFont="1" applyBorder="1" applyAlignment="1">
      <alignment horizontal="left" vertical="center"/>
    </xf>
    <xf numFmtId="0" fontId="6" fillId="4" borderId="0" xfId="0" applyFont="1" applyFill="1" applyAlignment="1">
      <alignment horizontal="center" vertical="center"/>
    </xf>
    <xf numFmtId="0" fontId="8" fillId="2" borderId="0" xfId="0" applyFont="1" applyFill="1" applyAlignment="1">
      <alignment horizontal="center" vertical="center"/>
    </xf>
    <xf numFmtId="0" fontId="13" fillId="4" borderId="0" xfId="0" applyFont="1" applyFill="1" applyAlignment="1">
      <alignment horizontal="center" vertical="center"/>
    </xf>
    <xf numFmtId="0" fontId="8" fillId="4" borderId="0" xfId="0" applyFont="1" applyFill="1" applyAlignment="1">
      <alignment horizontal="center" vertical="center"/>
    </xf>
    <xf numFmtId="0" fontId="7" fillId="0" borderId="11" xfId="0" applyFont="1" applyBorder="1" applyAlignment="1">
      <alignment horizontal="center" vertical="center"/>
    </xf>
    <xf numFmtId="0" fontId="7" fillId="0" borderId="0" xfId="0" applyFont="1" applyAlignment="1">
      <alignment horizontal="center" vertical="center"/>
    </xf>
    <xf numFmtId="0" fontId="19" fillId="11" borderId="1" xfId="0" applyFont="1" applyFill="1" applyBorder="1" applyAlignment="1">
      <alignment horizontal="center" vertical="center" wrapText="1"/>
    </xf>
    <xf numFmtId="0" fontId="19" fillId="11" borderId="1" xfId="0" applyFont="1" applyFill="1" applyBorder="1" applyAlignment="1">
      <alignment horizontal="center" vertical="center"/>
    </xf>
    <xf numFmtId="0" fontId="5" fillId="9" borderId="1" xfId="0" applyFont="1" applyFill="1" applyBorder="1" applyAlignment="1">
      <alignment horizontal="center" vertical="center" wrapText="1"/>
    </xf>
    <xf numFmtId="0" fontId="22" fillId="9" borderId="1" xfId="0" applyFont="1" applyFill="1" applyBorder="1" applyAlignment="1">
      <alignment horizontal="center" vertical="center" wrapText="1"/>
    </xf>
    <xf numFmtId="0" fontId="19" fillId="11" borderId="8" xfId="0" applyFont="1" applyFill="1" applyBorder="1" applyAlignment="1">
      <alignment horizontal="center" vertical="center" wrapText="1"/>
    </xf>
    <xf numFmtId="0" fontId="19" fillId="11" borderId="12" xfId="0" applyFont="1" applyFill="1" applyBorder="1" applyAlignment="1">
      <alignment horizontal="center" vertical="center" wrapText="1"/>
    </xf>
    <xf numFmtId="0" fontId="19" fillId="11" borderId="13" xfId="0" applyFont="1" applyFill="1" applyBorder="1" applyAlignment="1">
      <alignment horizontal="center" vertical="center" wrapText="1"/>
    </xf>
    <xf numFmtId="0" fontId="26" fillId="9" borderId="5" xfId="0" applyFont="1" applyFill="1" applyBorder="1" applyAlignment="1">
      <alignment horizontal="center" vertical="center" wrapText="1"/>
    </xf>
    <xf numFmtId="0" fontId="26" fillId="9" borderId="6" xfId="0" applyFont="1" applyFill="1" applyBorder="1" applyAlignment="1">
      <alignment horizontal="center" vertical="center" wrapText="1"/>
    </xf>
    <xf numFmtId="0" fontId="21" fillId="7" borderId="14" xfId="0" applyFont="1" applyFill="1" applyBorder="1" applyAlignment="1">
      <alignment horizontal="center" vertical="center" wrapText="1"/>
    </xf>
    <xf numFmtId="0" fontId="21" fillId="7" borderId="14" xfId="0" applyFont="1" applyFill="1" applyBorder="1" applyAlignment="1">
      <alignment horizontal="center" vertical="center"/>
    </xf>
    <xf numFmtId="0" fontId="29" fillId="3" borderId="1" xfId="0" applyFont="1" applyFill="1" applyBorder="1" applyAlignment="1">
      <alignment horizontal="center" vertical="center" wrapText="1"/>
    </xf>
    <xf numFmtId="0" fontId="37" fillId="3" borderId="5" xfId="0" applyFont="1" applyFill="1" applyBorder="1" applyAlignment="1">
      <alignment horizontal="center" vertical="center" wrapText="1"/>
    </xf>
    <xf numFmtId="0" fontId="37" fillId="3" borderId="6" xfId="0" applyFont="1" applyFill="1" applyBorder="1" applyAlignment="1">
      <alignment horizontal="center" vertical="center" wrapText="1"/>
    </xf>
    <xf numFmtId="0" fontId="37" fillId="3" borderId="3" xfId="0" applyFont="1" applyFill="1" applyBorder="1" applyAlignment="1">
      <alignment horizontal="center" vertical="center" wrapText="1"/>
    </xf>
    <xf numFmtId="0" fontId="30" fillId="0" borderId="5" xfId="0" applyFont="1" applyBorder="1" applyAlignment="1">
      <alignment horizontal="left" vertical="center" wrapText="1"/>
    </xf>
    <xf numFmtId="0" fontId="30" fillId="0" borderId="6" xfId="0" applyFont="1" applyBorder="1" applyAlignment="1">
      <alignment horizontal="left" vertical="center" wrapText="1"/>
    </xf>
    <xf numFmtId="0" fontId="30" fillId="0" borderId="3" xfId="0" applyFont="1" applyBorder="1" applyAlignment="1">
      <alignment horizontal="left" vertical="center" wrapText="1"/>
    </xf>
    <xf numFmtId="0" fontId="32" fillId="0" borderId="5" xfId="0" applyFont="1" applyBorder="1" applyAlignment="1">
      <alignment horizontal="left" vertical="center" wrapText="1"/>
    </xf>
    <xf numFmtId="0" fontId="32" fillId="0" borderId="6" xfId="0" applyFont="1" applyBorder="1" applyAlignment="1">
      <alignment horizontal="left" vertical="center" wrapText="1"/>
    </xf>
    <xf numFmtId="9" fontId="52" fillId="0" borderId="1" xfId="0" applyNumberFormat="1" applyFont="1" applyBorder="1" applyAlignment="1">
      <alignment horizontal="center" vertical="center" wrapText="1"/>
    </xf>
    <xf numFmtId="0" fontId="52" fillId="0" borderId="1" xfId="0" applyFont="1" applyBorder="1" applyAlignment="1">
      <alignment horizontal="center" vertical="center" wrapText="1"/>
    </xf>
    <xf numFmtId="0" fontId="38" fillId="12" borderId="1" xfId="0" applyFont="1" applyFill="1" applyBorder="1" applyAlignment="1">
      <alignment horizontal="center" vertical="center" wrapText="1"/>
    </xf>
    <xf numFmtId="0" fontId="32" fillId="0" borderId="1" xfId="0" applyFont="1" applyBorder="1" applyAlignment="1">
      <alignment horizontal="left" vertical="center" wrapText="1"/>
    </xf>
    <xf numFmtId="0" fontId="32" fillId="0" borderId="1" xfId="0" applyFont="1" applyBorder="1" applyAlignment="1">
      <alignment horizontal="left" vertical="center"/>
    </xf>
    <xf numFmtId="0" fontId="32" fillId="0" borderId="1" xfId="0" applyFont="1" applyBorder="1" applyAlignment="1">
      <alignment horizontal="center" vertical="center" wrapText="1"/>
    </xf>
    <xf numFmtId="0" fontId="38" fillId="12" borderId="5" xfId="0" applyFont="1" applyFill="1" applyBorder="1" applyAlignment="1">
      <alignment horizontal="center" vertical="center" wrapText="1"/>
    </xf>
    <xf numFmtId="0" fontId="30" fillId="0" borderId="0" xfId="0" applyFont="1" applyAlignment="1">
      <alignment horizontal="left" vertical="center" wrapText="1"/>
    </xf>
    <xf numFmtId="0" fontId="32" fillId="0" borderId="5" xfId="0" applyFont="1" applyBorder="1" applyAlignment="1">
      <alignment horizontal="center" vertical="center"/>
    </xf>
    <xf numFmtId="0" fontId="32" fillId="0" borderId="3" xfId="0" applyFont="1" applyBorder="1" applyAlignment="1">
      <alignment horizontal="center" vertical="center"/>
    </xf>
    <xf numFmtId="0" fontId="44" fillId="0" borderId="5" xfId="0" applyFont="1" applyBorder="1" applyAlignment="1">
      <alignment horizontal="center"/>
    </xf>
    <xf numFmtId="0" fontId="44" fillId="0" borderId="6" xfId="0" applyFont="1" applyBorder="1" applyAlignment="1">
      <alignment horizontal="center"/>
    </xf>
    <xf numFmtId="0" fontId="44" fillId="0" borderId="3" xfId="0" applyFont="1" applyBorder="1" applyAlignment="1">
      <alignment horizontal="center"/>
    </xf>
    <xf numFmtId="0" fontId="29" fillId="0" borderId="0" xfId="0" applyFont="1" applyAlignment="1">
      <alignment horizontal="center" vertical="center" wrapText="1"/>
    </xf>
    <xf numFmtId="0" fontId="30" fillId="0" borderId="5" xfId="0" applyFont="1" applyBorder="1" applyAlignment="1">
      <alignment horizontal="center" vertical="center"/>
    </xf>
    <xf numFmtId="0" fontId="30" fillId="0" borderId="3" xfId="0" applyFont="1" applyBorder="1" applyAlignment="1">
      <alignment horizontal="center" vertical="center"/>
    </xf>
    <xf numFmtId="9" fontId="52" fillId="0" borderId="5" xfId="0" applyNumberFormat="1" applyFont="1" applyBorder="1" applyAlignment="1">
      <alignment horizontal="center"/>
    </xf>
    <xf numFmtId="9" fontId="52" fillId="0" borderId="6" xfId="0" applyNumberFormat="1" applyFont="1" applyBorder="1" applyAlignment="1">
      <alignment horizontal="center"/>
    </xf>
    <xf numFmtId="9" fontId="52" fillId="0" borderId="3" xfId="0" applyNumberFormat="1" applyFont="1" applyBorder="1" applyAlignment="1">
      <alignment horizontal="center"/>
    </xf>
    <xf numFmtId="0" fontId="42" fillId="12" borderId="5" xfId="0" applyFont="1" applyFill="1" applyBorder="1" applyAlignment="1">
      <alignment horizontal="center" vertical="center"/>
    </xf>
    <xf numFmtId="0" fontId="42" fillId="12" borderId="6" xfId="0" applyFont="1" applyFill="1" applyBorder="1" applyAlignment="1">
      <alignment horizontal="center" vertical="center"/>
    </xf>
    <xf numFmtId="0" fontId="42" fillId="12" borderId="3" xfId="0" applyFont="1" applyFill="1" applyBorder="1" applyAlignment="1">
      <alignment horizontal="center" vertical="center"/>
    </xf>
    <xf numFmtId="9" fontId="53" fillId="0" borderId="5" xfId="0" applyNumberFormat="1" applyFont="1" applyBorder="1" applyAlignment="1">
      <alignment horizontal="center"/>
    </xf>
    <xf numFmtId="0" fontId="53" fillId="0" borderId="6" xfId="0" applyFont="1" applyBorder="1" applyAlignment="1">
      <alignment horizontal="center"/>
    </xf>
    <xf numFmtId="0" fontId="53" fillId="0" borderId="3" xfId="0" applyFont="1" applyBorder="1" applyAlignment="1">
      <alignment horizontal="center"/>
    </xf>
    <xf numFmtId="0" fontId="45" fillId="3" borderId="0" xfId="0" applyFont="1" applyFill="1" applyAlignment="1">
      <alignment horizontal="center" vertical="center"/>
    </xf>
    <xf numFmtId="0" fontId="51" fillId="0" borderId="5" xfId="0" applyFont="1" applyBorder="1" applyAlignment="1">
      <alignment horizontal="left" vertical="center" wrapText="1"/>
    </xf>
    <xf numFmtId="0" fontId="51" fillId="0" borderId="6" xfId="0" applyFont="1" applyBorder="1" applyAlignment="1">
      <alignment horizontal="left" vertical="center"/>
    </xf>
    <xf numFmtId="0" fontId="51" fillId="0" borderId="3" xfId="0" applyFont="1" applyBorder="1" applyAlignment="1">
      <alignment horizontal="left" vertical="center"/>
    </xf>
    <xf numFmtId="0" fontId="51" fillId="0" borderId="1" xfId="0" applyFont="1" applyBorder="1" applyAlignment="1">
      <alignment horizontal="left" vertical="center" wrapText="1"/>
    </xf>
    <xf numFmtId="0" fontId="51" fillId="0" borderId="1" xfId="0" applyFont="1" applyBorder="1" applyAlignment="1">
      <alignment horizontal="left" vertical="center"/>
    </xf>
    <xf numFmtId="0" fontId="52" fillId="0" borderId="1" xfId="0" applyFont="1" applyBorder="1" applyAlignment="1">
      <alignment horizontal="left" vertical="center"/>
    </xf>
    <xf numFmtId="0" fontId="43" fillId="0" borderId="0" xfId="0" applyFont="1" applyAlignment="1">
      <alignment horizontal="center" vertical="center" wrapText="1"/>
    </xf>
    <xf numFmtId="0" fontId="36" fillId="12" borderId="5" xfId="0" applyFont="1" applyFill="1" applyBorder="1" applyAlignment="1">
      <alignment horizontal="center" vertical="center"/>
    </xf>
    <xf numFmtId="0" fontId="36" fillId="12" borderId="6" xfId="0" applyFont="1" applyFill="1" applyBorder="1" applyAlignment="1">
      <alignment horizontal="center" vertical="center"/>
    </xf>
    <xf numFmtId="0" fontId="40" fillId="0" borderId="4" xfId="0" applyFont="1" applyBorder="1" applyAlignment="1">
      <alignment horizontal="center" vertical="center" wrapText="1"/>
    </xf>
    <xf numFmtId="0" fontId="36" fillId="12" borderId="3" xfId="0" applyFont="1" applyFill="1" applyBorder="1" applyAlignment="1">
      <alignment horizontal="center" vertical="center"/>
    </xf>
    <xf numFmtId="0" fontId="36" fillId="12" borderId="0" xfId="0" applyFont="1" applyFill="1" applyAlignment="1">
      <alignment horizontal="center" vertical="center"/>
    </xf>
    <xf numFmtId="0" fontId="32" fillId="0" borderId="5" xfId="0" applyFont="1" applyBorder="1" applyAlignment="1">
      <alignment horizontal="left" vertical="center"/>
    </xf>
    <xf numFmtId="0" fontId="32" fillId="0" borderId="6" xfId="0" applyFont="1" applyBorder="1" applyAlignment="1">
      <alignment horizontal="left" vertical="center"/>
    </xf>
    <xf numFmtId="0" fontId="32" fillId="0" borderId="3" xfId="0" applyFont="1" applyBorder="1" applyAlignment="1">
      <alignment horizontal="left" vertical="center"/>
    </xf>
    <xf numFmtId="0" fontId="32" fillId="8" borderId="1" xfId="0" applyFont="1" applyFill="1" applyBorder="1" applyAlignment="1">
      <alignment horizontal="left" vertical="center"/>
    </xf>
    <xf numFmtId="0" fontId="38" fillId="12" borderId="1" xfId="0" applyFont="1" applyFill="1" applyBorder="1" applyAlignment="1">
      <alignment horizontal="center" vertical="center"/>
    </xf>
    <xf numFmtId="0" fontId="35" fillId="7" borderId="0" xfId="0" applyFont="1" applyFill="1" applyAlignment="1">
      <alignment horizontal="center" vertical="center"/>
    </xf>
    <xf numFmtId="0" fontId="31" fillId="0" borderId="3" xfId="0" applyFont="1" applyBorder="1" applyAlignment="1">
      <alignment horizontal="left" vertical="center"/>
    </xf>
    <xf numFmtId="0" fontId="31" fillId="0" borderId="1" xfId="0" applyFont="1" applyBorder="1" applyAlignment="1">
      <alignment horizontal="left" vertical="center"/>
    </xf>
    <xf numFmtId="0" fontId="31" fillId="0" borderId="5" xfId="0" applyFont="1" applyBorder="1" applyAlignment="1">
      <alignment horizontal="left" vertical="center"/>
    </xf>
    <xf numFmtId="0" fontId="31" fillId="0" borderId="6" xfId="0" applyFont="1" applyBorder="1" applyAlignment="1">
      <alignment horizontal="left" vertical="center"/>
    </xf>
    <xf numFmtId="169" fontId="32" fillId="0" borderId="1" xfId="1" applyNumberFormat="1" applyFont="1" applyBorder="1" applyAlignment="1">
      <alignment horizontal="left" vertical="center"/>
    </xf>
    <xf numFmtId="0" fontId="28" fillId="12" borderId="0" xfId="0" applyFont="1" applyFill="1" applyAlignment="1">
      <alignment horizontal="center" vertical="center"/>
    </xf>
    <xf numFmtId="0" fontId="29" fillId="3" borderId="5" xfId="0" applyFont="1" applyFill="1" applyBorder="1" applyAlignment="1">
      <alignment horizontal="left" vertical="center" wrapText="1"/>
    </xf>
    <xf numFmtId="0" fontId="29" fillId="3" borderId="6" xfId="0" applyFont="1" applyFill="1" applyBorder="1" applyAlignment="1">
      <alignment horizontal="left" vertical="center" wrapText="1"/>
    </xf>
    <xf numFmtId="0" fontId="51" fillId="3" borderId="1" xfId="0" applyFont="1" applyFill="1" applyBorder="1" applyAlignment="1">
      <alignment horizontal="center" vertical="center"/>
    </xf>
    <xf numFmtId="0" fontId="30" fillId="3" borderId="5" xfId="0" applyFont="1" applyFill="1" applyBorder="1" applyAlignment="1">
      <alignment horizontal="left" vertical="center" wrapText="1"/>
    </xf>
    <xf numFmtId="0" fontId="30" fillId="3" borderId="6" xfId="0" applyFont="1" applyFill="1" applyBorder="1" applyAlignment="1">
      <alignment horizontal="left" vertical="center" wrapText="1"/>
    </xf>
    <xf numFmtId="0" fontId="30" fillId="3" borderId="3" xfId="0" applyFont="1" applyFill="1" applyBorder="1" applyAlignment="1">
      <alignment horizontal="left" vertical="center" wrapText="1"/>
    </xf>
    <xf numFmtId="0" fontId="31" fillId="3" borderId="6" xfId="0" applyFont="1" applyFill="1" applyBorder="1" applyAlignment="1">
      <alignment horizontal="center" vertical="center" wrapText="1"/>
    </xf>
    <xf numFmtId="0" fontId="32" fillId="3" borderId="3" xfId="0" applyFont="1" applyFill="1" applyBorder="1" applyAlignment="1">
      <alignment horizontal="left" vertical="center"/>
    </xf>
    <xf numFmtId="0" fontId="32" fillId="3" borderId="1" xfId="0" applyFont="1" applyFill="1" applyBorder="1" applyAlignment="1">
      <alignment horizontal="left" vertical="center"/>
    </xf>
    <xf numFmtId="3" fontId="32" fillId="0" borderId="1" xfId="0" applyNumberFormat="1" applyFont="1" applyBorder="1" applyAlignment="1">
      <alignment horizontal="left" vertical="center"/>
    </xf>
    <xf numFmtId="0" fontId="32" fillId="0" borderId="3" xfId="0" applyFont="1" applyBorder="1" applyAlignment="1">
      <alignment horizontal="left" vertical="center" wrapText="1"/>
    </xf>
    <xf numFmtId="0" fontId="31" fillId="0" borderId="3" xfId="0" applyFont="1" applyBorder="1" applyAlignment="1">
      <alignment horizontal="left" vertical="center" wrapText="1"/>
    </xf>
    <xf numFmtId="0" fontId="31" fillId="0" borderId="1" xfId="0" applyFont="1" applyBorder="1" applyAlignment="1">
      <alignment horizontal="left" vertical="center" wrapText="1"/>
    </xf>
    <xf numFmtId="43" fontId="0" fillId="0" borderId="0" xfId="0" applyNumberFormat="1"/>
    <xf numFmtId="43" fontId="0" fillId="0" borderId="0" xfId="0" applyNumberFormat="1" applyAlignment="1">
      <alignment horizontal="right"/>
    </xf>
    <xf numFmtId="172" fontId="0" fillId="0" borderId="0" xfId="0" applyNumberFormat="1"/>
    <xf numFmtId="43" fontId="67" fillId="0" borderId="0" xfId="0" applyNumberFormat="1" applyFont="1"/>
  </cellXfs>
  <cellStyles count="8">
    <cellStyle name="Comma" xfId="4" builtinId="3"/>
    <cellStyle name="Hyperlink" xfId="2" builtinId="8"/>
    <cellStyle name="Normal" xfId="0" builtinId="0"/>
    <cellStyle name="Normal 2" xfId="6" xr:uid="{0DE96153-10F0-4D47-A528-5E7AC16D1551}"/>
    <cellStyle name="Normal 3" xfId="3" xr:uid="{65837529-C987-4A87-9F63-55BED19EA201}"/>
    <cellStyle name="Normal 4" xfId="5" xr:uid="{C1D58A0F-19E0-4515-9E8C-3604CF25637C}"/>
    <cellStyle name="Percent" xfId="1" builtinId="5"/>
    <cellStyle name="Percent 2" xfId="7" xr:uid="{94F99147-28F6-471C-9FA4-6ED323199EDA}"/>
  </cellStyles>
  <dxfs count="0"/>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8</xdr:col>
      <xdr:colOff>378357</xdr:colOff>
      <xdr:row>1</xdr:row>
      <xdr:rowOff>16406</xdr:rowOff>
    </xdr:from>
    <xdr:to>
      <xdr:col>23</xdr:col>
      <xdr:colOff>227542</xdr:colOff>
      <xdr:row>18</xdr:row>
      <xdr:rowOff>74082</xdr:rowOff>
    </xdr:to>
    <xdr:sp macro="" textlink="">
      <xdr:nvSpPr>
        <xdr:cNvPr id="4" name="TextBox 3">
          <a:extLst>
            <a:ext uri="{FF2B5EF4-FFF2-40B4-BE49-F238E27FC236}">
              <a16:creationId xmlns:a16="http://schemas.microsoft.com/office/drawing/2014/main" id="{D0421C73-D0BB-4A29-A36D-222C39A3811C}"/>
            </a:ext>
          </a:extLst>
        </xdr:cNvPr>
        <xdr:cNvSpPr txBox="1"/>
      </xdr:nvSpPr>
      <xdr:spPr>
        <a:xfrm>
          <a:off x="7564440" y="185739"/>
          <a:ext cx="10167935" cy="4253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Additional</a:t>
          </a:r>
          <a:r>
            <a:rPr lang="en-US" sz="1100" b="1" baseline="0"/>
            <a:t> FAQ:</a:t>
          </a:r>
        </a:p>
        <a:p>
          <a:r>
            <a:rPr lang="en-US" sz="1100" b="1" baseline="0"/>
            <a:t>Q1: The opportunity window?</a:t>
          </a:r>
        </a:p>
        <a:p>
          <a:r>
            <a:rPr lang="en-US" sz="1100" baseline="0"/>
            <a:t>A: Per account team's feedback, currently FS China already had 6 vendors to host their iCloud with good performance, hence they don't have urgency to introduce new vendor now. it's true that FS China will have open bid window in each year, however it doesn't means AWS has the opportunity to directly engage with FS China each year. This time is FS China AT with strong relationship and FS China internal sponsor opens the door for AWS China to do tech validation. </a:t>
          </a:r>
        </a:p>
        <a:p>
          <a:endParaRPr lang="en-US" sz="1100" baseline="0"/>
        </a:p>
        <a:p>
          <a:r>
            <a:rPr lang="en-US" sz="1100" b="1" baseline="0"/>
            <a:t>Q2: What is the FS China iCloud overall status? why last year we tried to engage with China mobile instead of direct? e the current 6 vendors situation?</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t>A: </a:t>
          </a:r>
          <a:r>
            <a:rPr lang="en-US" sz="1100">
              <a:solidFill>
                <a:schemeClr val="dk1"/>
              </a:solidFill>
              <a:effectLst/>
              <a:latin typeface="+mn-lt"/>
              <a:ea typeface="+mn-ea"/>
              <a:cs typeface="+mn-cs"/>
            </a:rPr>
            <a:t>Fruitstand's China operations currently utilize object storage services from six different CSPs to meet their iCloud storage needs in China, totaling 3,300PB as of H1 2024 (refer</a:t>
          </a:r>
          <a:r>
            <a:rPr lang="en-US" sz="1100" baseline="0">
              <a:solidFill>
                <a:schemeClr val="dk1"/>
              </a:solidFill>
              <a:effectLst/>
              <a:latin typeface="+mn-lt"/>
              <a:ea typeface="+mn-ea"/>
              <a:cs typeface="+mn-cs"/>
            </a:rPr>
            <a:t> to below screen capture)</a:t>
          </a:r>
          <a:r>
            <a:rPr lang="en-US" sz="1100">
              <a:solidFill>
                <a:schemeClr val="dk1"/>
              </a:solidFill>
              <a:effectLst/>
              <a:latin typeface="+mn-lt"/>
              <a:ea typeface="+mn-ea"/>
              <a:cs typeface="+mn-cs"/>
            </a:rPr>
            <a:t>. Additionally, Fruitstand has built two data centers within China, and their on-premises storage solutions contribute an additional 1,500PB of storage capacity as of H1 2024.</a:t>
          </a: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As</a:t>
          </a:r>
          <a:r>
            <a:rPr lang="en-US" sz="1100" baseline="0">
              <a:solidFill>
                <a:schemeClr val="dk1"/>
              </a:solidFill>
              <a:effectLst/>
              <a:latin typeface="+mn-lt"/>
              <a:ea typeface="+mn-ea"/>
              <a:cs typeface="+mn-cs"/>
            </a:rPr>
            <a:t> aforementioned, FS China doesn't have intention to introduce new vendor given existing vendors already provide good performance and price. However two of the telcom vendors (China mobile, China Unicom) didn't have its own solution, instead they used IBM Cleversafe solution, hence we tried to partner with China mobile (during their contract renew cycle) to replace IBM solutions last year.</a:t>
          </a:r>
          <a:endParaRPr lang="en-US" sz="1100" baseline="0"/>
        </a:p>
        <a:p>
          <a:endParaRPr lang="en-US" sz="110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b="1" baseline="0"/>
            <a:t>Q3: Monthly deletion ratio and </a:t>
          </a:r>
          <a:r>
            <a:rPr lang="en-US" sz="1100" b="1" baseline="0">
              <a:solidFill>
                <a:schemeClr val="dk1"/>
              </a:solidFill>
              <a:effectLst/>
              <a:latin typeface="+mn-lt"/>
              <a:ea typeface="+mn-ea"/>
              <a:cs typeface="+mn-cs"/>
            </a:rPr>
            <a:t>Garbage Collection and Compaction (GC&amp;C) process?</a:t>
          </a:r>
          <a:endParaRPr lang="en-US" sz="1100" b="1" baseline="0"/>
        </a:p>
        <a:p>
          <a:r>
            <a:rPr lang="en-US" sz="1100" baseline="0"/>
            <a:t>A: </a:t>
          </a:r>
          <a:r>
            <a:rPr lang="en-US" sz="1100" b="0" i="0">
              <a:solidFill>
                <a:schemeClr val="dk1"/>
              </a:solidFill>
              <a:effectLst/>
              <a:latin typeface="+mn-lt"/>
              <a:ea typeface="+mn-ea"/>
              <a:cs typeface="+mn-cs"/>
            </a:rPr>
            <a:t>The account team (including sales and SA) is unable to determine the exact monthly deletion ratio based on the available insights.</a:t>
          </a:r>
        </a:p>
        <a:p>
          <a:r>
            <a:rPr lang="en-US" sz="1100" b="0" i="0">
              <a:solidFill>
                <a:schemeClr val="dk1"/>
              </a:solidFill>
              <a:effectLst/>
              <a:latin typeface="+mn-lt"/>
              <a:ea typeface="+mn-ea"/>
              <a:cs typeface="+mn-cs"/>
            </a:rPr>
            <a:t>Based on the account team's previous experience dealing with FS China iCloud workloads, the typical contract cycle for each vendor involves the following phases:</a:t>
          </a:r>
        </a:p>
        <a:p>
          <a:r>
            <a:rPr lang="en-US" sz="1100" b="0" i="0">
              <a:solidFill>
                <a:schemeClr val="dk1"/>
              </a:solidFill>
              <a:effectLst/>
              <a:latin typeface="+mn-lt"/>
              <a:ea typeface="+mn-ea"/>
              <a:cs typeface="+mn-cs"/>
            </a:rPr>
            <a:t>Phase I - Ramping: In the first 6-12 months,</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ramp up to a high storage volume, typically around 50PB per month (monthly DTI).</a:t>
          </a:r>
        </a:p>
        <a:p>
          <a:r>
            <a:rPr lang="en-US" sz="1100" b="0" i="0">
              <a:solidFill>
                <a:schemeClr val="dk1"/>
              </a:solidFill>
              <a:effectLst/>
              <a:latin typeface="+mn-lt"/>
              <a:ea typeface="+mn-ea"/>
              <a:cs typeface="+mn-cs"/>
            </a:rPr>
            <a:t>Phase II - Stabilized: After the initial ramp-up, the storage volume will stabilize,</a:t>
          </a:r>
          <a:r>
            <a:rPr lang="en-US" sz="1100" b="0" i="0" baseline="0">
              <a:solidFill>
                <a:schemeClr val="dk1"/>
              </a:solidFill>
              <a:effectLst/>
              <a:latin typeface="+mn-lt"/>
              <a:ea typeface="+mn-ea"/>
              <a:cs typeface="+mn-cs"/>
            </a:rPr>
            <a:t> while there will have </a:t>
          </a:r>
          <a:r>
            <a:rPr lang="en-US" sz="1100" b="0" i="0">
              <a:solidFill>
                <a:schemeClr val="dk1"/>
              </a:solidFill>
              <a:effectLst/>
              <a:latin typeface="+mn-lt"/>
              <a:ea typeface="+mn-ea"/>
              <a:cs typeface="+mn-cs"/>
            </a:rPr>
            <a:t>around 15PB DTI per month,</a:t>
          </a:r>
          <a:r>
            <a:rPr lang="en-US" sz="1100" b="0" i="0" baseline="0">
              <a:solidFill>
                <a:schemeClr val="dk1"/>
              </a:solidFill>
              <a:effectLst/>
              <a:latin typeface="+mn-lt"/>
              <a:ea typeface="+mn-ea"/>
              <a:cs typeface="+mn-cs"/>
            </a:rPr>
            <a:t> meanwhile FS will free up around 10-15PB space which mainly contributed by </a:t>
          </a:r>
          <a:r>
            <a:rPr lang="en-US" sz="1100" b="0" i="0">
              <a:solidFill>
                <a:schemeClr val="dk1"/>
              </a:solidFill>
              <a:effectLst/>
              <a:latin typeface="+mn-lt"/>
              <a:ea typeface="+mn-ea"/>
              <a:cs typeface="+mn-cs"/>
            </a:rPr>
            <a:t>two factors: 1) End users deleting a portion of their data stored on iCloud to free up space. </a:t>
          </a:r>
          <a:r>
            <a:rPr lang="en-US" altLang="zh-CN" sz="1100" b="0" i="0">
              <a:solidFill>
                <a:schemeClr val="dk1"/>
              </a:solidFill>
              <a:effectLst/>
              <a:latin typeface="+mn-lt"/>
              <a:ea typeface="+mn-ea"/>
              <a:cs typeface="+mn-cs"/>
            </a:rPr>
            <a:t>and 2) </a:t>
          </a:r>
          <a:r>
            <a:rPr lang="en-US" sz="1100" b="0" i="0">
              <a:solidFill>
                <a:schemeClr val="dk1"/>
              </a:solidFill>
              <a:effectLst/>
              <a:latin typeface="+mn-lt"/>
              <a:ea typeface="+mn-ea"/>
              <a:cs typeface="+mn-cs"/>
            </a:rPr>
            <a:t>The FS implementing GC&amp;C processes to compact the data, ensuring the overall storage volume remains at a stable level, slightly higher than the committed amount but not exceeding it greatly.</a:t>
          </a:r>
        </a:p>
        <a:p>
          <a:r>
            <a:rPr lang="en-US" sz="1100" b="0" i="0">
              <a:solidFill>
                <a:schemeClr val="dk1"/>
              </a:solidFill>
              <a:effectLst/>
              <a:latin typeface="+mn-lt"/>
              <a:ea typeface="+mn-ea"/>
              <a:cs typeface="+mn-cs"/>
            </a:rPr>
            <a:t>During Phase II, the overall monthly incremental data (DTI) for iCloud remains consistent. The additional 35PB of data (difference between the 50PB in Phase I and the 15PB in Phase II) is stored on other vendors' platforms.</a:t>
          </a:r>
        </a:p>
        <a:p>
          <a:endParaRPr lang="en-US" sz="1100" b="0" i="0">
            <a:solidFill>
              <a:schemeClr val="dk1"/>
            </a:solidFill>
            <a:effectLst/>
            <a:latin typeface="+mn-lt"/>
            <a:ea typeface="+mn-ea"/>
            <a:cs typeface="+mn-cs"/>
          </a:endParaRPr>
        </a:p>
      </xdr:txBody>
    </xdr:sp>
    <xdr:clientData/>
  </xdr:twoCellAnchor>
  <xdr:twoCellAnchor editAs="oneCell">
    <xdr:from>
      <xdr:col>8</xdr:col>
      <xdr:colOff>198967</xdr:colOff>
      <xdr:row>28</xdr:row>
      <xdr:rowOff>123826</xdr:rowOff>
    </xdr:from>
    <xdr:to>
      <xdr:col>26</xdr:col>
      <xdr:colOff>607105</xdr:colOff>
      <xdr:row>65</xdr:row>
      <xdr:rowOff>36009</xdr:rowOff>
    </xdr:to>
    <xdr:pic>
      <xdr:nvPicPr>
        <xdr:cNvPr id="5" name="Picture 4">
          <a:extLst>
            <a:ext uri="{FF2B5EF4-FFF2-40B4-BE49-F238E27FC236}">
              <a16:creationId xmlns:a16="http://schemas.microsoft.com/office/drawing/2014/main" id="{5E8F6297-C855-4D8D-A168-B0DB0582FD88}"/>
            </a:ext>
          </a:extLst>
        </xdr:cNvPr>
        <xdr:cNvPicPr>
          <a:picLocks noChangeAspect="1"/>
        </xdr:cNvPicPr>
      </xdr:nvPicPr>
      <xdr:blipFill>
        <a:blip xmlns:r="http://schemas.openxmlformats.org/officeDocument/2006/relationships" r:embed="rId1"/>
        <a:stretch>
          <a:fillRect/>
        </a:stretch>
      </xdr:blipFill>
      <xdr:spPr>
        <a:xfrm>
          <a:off x="7295093" y="6542618"/>
          <a:ext cx="12785874" cy="701412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aws.amazon.com/s3/storage-classes/?nc=sn&amp;loc=3" TargetMode="External"/><Relationship Id="rId2" Type="http://schemas.openxmlformats.org/officeDocument/2006/relationships/hyperlink" Target="https://wisdom.corp.amazon.com/Pages/Services_Glacier-and-Deep-Archive.aspx" TargetMode="External"/><Relationship Id="rId1" Type="http://schemas.openxmlformats.org/officeDocument/2006/relationships/hyperlink" Target="https://wisdom.corp.amazon.com/Pages/PP-PARC-S3.aspx" TargetMode="External"/><Relationship Id="rId5" Type="http://schemas.openxmlformats.org/officeDocument/2006/relationships/printerSettings" Target="../printerSettings/printerSettings1.bin"/><Relationship Id="rId4" Type="http://schemas.openxmlformats.org/officeDocument/2006/relationships/hyperlink" Target="https://wisdom.corp.amazon.com/Pages/Services_S3.aspx"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53685-51D3-B146-998F-21A735742AF6}">
  <dimension ref="A1:N36"/>
  <sheetViews>
    <sheetView showGridLines="0" zoomScaleNormal="100" workbookViewId="0">
      <selection activeCell="I16" sqref="I16"/>
    </sheetView>
  </sheetViews>
  <sheetFormatPr defaultColWidth="11.09765625" defaultRowHeight="15"/>
  <cols>
    <col min="1" max="16384" width="11.09765625" style="33"/>
  </cols>
  <sheetData>
    <row r="1" spans="1:14" ht="30" customHeight="1">
      <c r="A1" s="69" t="s">
        <v>176</v>
      </c>
      <c r="B1" s="70"/>
      <c r="C1" s="70"/>
      <c r="D1" s="71"/>
      <c r="E1" s="72"/>
      <c r="F1" s="72"/>
      <c r="G1" s="72"/>
      <c r="H1" s="72"/>
      <c r="I1" s="72"/>
      <c r="J1" s="72"/>
      <c r="K1" s="72"/>
      <c r="L1" s="72"/>
      <c r="M1" s="72"/>
      <c r="N1" s="72"/>
    </row>
    <row r="2" spans="1:14">
      <c r="A2" s="73"/>
      <c r="B2" s="72"/>
      <c r="C2" s="72"/>
      <c r="D2" s="74"/>
      <c r="E2" s="72"/>
      <c r="F2" s="72"/>
      <c r="G2" s="72"/>
      <c r="H2" s="72"/>
      <c r="I2" s="72"/>
      <c r="J2" s="72"/>
      <c r="K2" s="72"/>
      <c r="L2" s="72"/>
      <c r="M2" s="72"/>
      <c r="N2" s="72"/>
    </row>
    <row r="3" spans="1:14" ht="15.6">
      <c r="A3" s="75" t="s">
        <v>179</v>
      </c>
      <c r="B3" s="72"/>
      <c r="C3" s="72"/>
      <c r="D3" s="76"/>
      <c r="E3" s="72"/>
      <c r="F3" s="72"/>
      <c r="G3" s="72"/>
      <c r="H3" s="72"/>
      <c r="I3" s="72"/>
      <c r="J3" s="72"/>
      <c r="K3" s="72"/>
      <c r="L3" s="72"/>
      <c r="M3" s="72"/>
      <c r="N3" s="72"/>
    </row>
    <row r="4" spans="1:14">
      <c r="A4" s="73" t="s">
        <v>225</v>
      </c>
      <c r="B4" s="72"/>
      <c r="C4" s="72"/>
      <c r="D4" s="76"/>
      <c r="E4" s="72"/>
      <c r="F4" s="72"/>
      <c r="G4" s="72"/>
      <c r="H4" s="72"/>
      <c r="I4" s="72"/>
      <c r="J4" s="72"/>
      <c r="K4" s="72"/>
      <c r="L4" s="72"/>
      <c r="M4" s="72"/>
      <c r="N4" s="72"/>
    </row>
    <row r="5" spans="1:14">
      <c r="A5" s="77" t="s">
        <v>177</v>
      </c>
      <c r="B5" s="78"/>
      <c r="C5" s="78"/>
      <c r="D5" s="79"/>
      <c r="E5" s="72"/>
      <c r="F5" s="72"/>
      <c r="G5" s="72"/>
      <c r="H5" s="72"/>
      <c r="I5" s="72"/>
      <c r="J5" s="72"/>
      <c r="K5" s="72"/>
      <c r="L5" s="72"/>
      <c r="M5" s="72"/>
      <c r="N5" s="72"/>
    </row>
    <row r="6" spans="1:14">
      <c r="A6" s="72" t="s">
        <v>226</v>
      </c>
      <c r="B6" s="72"/>
      <c r="C6" s="72"/>
      <c r="D6" s="72"/>
      <c r="E6" s="72"/>
      <c r="F6" s="72"/>
      <c r="G6" s="72"/>
      <c r="H6" s="72"/>
      <c r="I6" s="72"/>
      <c r="J6" s="72"/>
      <c r="K6" s="72"/>
      <c r="L6" s="72"/>
      <c r="M6" s="72"/>
      <c r="N6" s="72"/>
    </row>
    <row r="7" spans="1:14">
      <c r="A7" s="72"/>
    </row>
    <row r="8" spans="1:14" ht="15.6">
      <c r="A8" s="80" t="s">
        <v>41</v>
      </c>
      <c r="B8" s="72"/>
      <c r="C8" s="72"/>
      <c r="D8" s="72"/>
      <c r="E8" s="72"/>
      <c r="F8" s="72"/>
      <c r="G8" s="72"/>
      <c r="H8" s="72"/>
      <c r="I8" s="72"/>
      <c r="J8" s="72"/>
      <c r="K8" s="72"/>
      <c r="L8" s="72"/>
      <c r="M8" s="72"/>
      <c r="N8" s="72"/>
    </row>
    <row r="9" spans="1:14">
      <c r="A9" s="72" t="s">
        <v>199</v>
      </c>
      <c r="B9" s="72"/>
      <c r="C9" s="72"/>
      <c r="D9" s="72"/>
      <c r="E9" s="72"/>
      <c r="F9" s="72"/>
      <c r="G9" s="72"/>
      <c r="H9" s="72"/>
      <c r="I9" s="72"/>
      <c r="J9" s="72"/>
      <c r="K9" s="72"/>
      <c r="L9" s="72"/>
      <c r="M9" s="72"/>
      <c r="N9" s="72"/>
    </row>
    <row r="10" spans="1:14">
      <c r="A10" s="72" t="s">
        <v>241</v>
      </c>
    </row>
    <row r="11" spans="1:14">
      <c r="A11" s="72"/>
    </row>
    <row r="12" spans="1:14" ht="15.6">
      <c r="A12" s="80" t="s">
        <v>183</v>
      </c>
    </row>
    <row r="13" spans="1:14">
      <c r="A13" s="81" t="s">
        <v>184</v>
      </c>
    </row>
    <row r="14" spans="1:14">
      <c r="A14" s="81" t="s">
        <v>185</v>
      </c>
    </row>
    <row r="15" spans="1:14">
      <c r="A15" s="81" t="s">
        <v>187</v>
      </c>
    </row>
    <row r="16" spans="1:14">
      <c r="A16" s="81" t="s">
        <v>200</v>
      </c>
    </row>
    <row r="17" spans="1:14">
      <c r="A17" s="82" t="s">
        <v>186</v>
      </c>
      <c r="B17" s="83"/>
      <c r="C17" s="83"/>
      <c r="D17" s="83"/>
      <c r="E17" s="83"/>
      <c r="F17" s="70"/>
      <c r="G17" s="71"/>
      <c r="H17" s="73"/>
      <c r="I17" s="72"/>
      <c r="J17" s="72"/>
      <c r="K17" s="72"/>
      <c r="L17" s="72"/>
      <c r="M17" s="72"/>
      <c r="N17" s="72"/>
    </row>
    <row r="18" spans="1:14">
      <c r="A18" s="72"/>
      <c r="B18" s="72"/>
      <c r="C18" s="72"/>
      <c r="D18" s="72"/>
      <c r="E18" s="72"/>
      <c r="F18" s="72"/>
      <c r="G18" s="72"/>
      <c r="H18" s="72"/>
      <c r="I18" s="72"/>
      <c r="J18" s="72"/>
      <c r="K18" s="72"/>
      <c r="L18" s="72"/>
      <c r="M18" s="72"/>
      <c r="N18" s="72"/>
    </row>
    <row r="19" spans="1:14">
      <c r="A19" s="72"/>
      <c r="B19" s="72"/>
      <c r="C19" s="72"/>
      <c r="D19" s="72"/>
      <c r="E19" s="72"/>
      <c r="F19" s="72"/>
      <c r="G19" s="72"/>
      <c r="H19" s="72"/>
      <c r="I19" s="72"/>
      <c r="J19" s="72"/>
      <c r="K19" s="72"/>
      <c r="L19" s="72"/>
      <c r="M19" s="72"/>
      <c r="N19" s="72"/>
    </row>
    <row r="20" spans="1:14">
      <c r="A20" s="72"/>
      <c r="B20" s="72"/>
      <c r="C20" s="72"/>
      <c r="D20" s="72"/>
      <c r="E20" s="72"/>
      <c r="F20" s="72"/>
      <c r="G20" s="72"/>
      <c r="H20" s="72"/>
      <c r="I20" s="72"/>
      <c r="J20" s="72"/>
      <c r="K20" s="72"/>
      <c r="L20" s="72"/>
      <c r="M20" s="72"/>
      <c r="N20" s="72"/>
    </row>
    <row r="21" spans="1:14">
      <c r="A21" s="72"/>
      <c r="B21" s="72"/>
      <c r="C21" s="72"/>
      <c r="D21" s="72"/>
      <c r="E21" s="72"/>
      <c r="F21" s="72"/>
      <c r="G21" s="72"/>
      <c r="H21" s="72"/>
      <c r="I21" s="72"/>
      <c r="J21" s="72"/>
      <c r="K21" s="72"/>
      <c r="L21" s="72"/>
      <c r="M21" s="72"/>
      <c r="N21" s="72"/>
    </row>
    <row r="22" spans="1:14">
      <c r="A22" s="72"/>
      <c r="B22" s="72"/>
      <c r="C22" s="72"/>
      <c r="D22" s="72"/>
      <c r="E22" s="72"/>
      <c r="F22" s="72"/>
      <c r="G22" s="72"/>
      <c r="H22" s="72"/>
      <c r="I22" s="72"/>
      <c r="J22" s="72"/>
      <c r="K22" s="72"/>
      <c r="L22" s="72"/>
      <c r="M22" s="72"/>
      <c r="N22" s="72"/>
    </row>
    <row r="23" spans="1:14">
      <c r="A23" s="72"/>
      <c r="B23" s="72"/>
      <c r="C23" s="72"/>
      <c r="D23" s="72"/>
      <c r="E23" s="72"/>
      <c r="F23" s="72"/>
      <c r="G23" s="72"/>
      <c r="H23" s="72"/>
      <c r="I23" s="72"/>
      <c r="J23" s="72"/>
      <c r="K23" s="72"/>
      <c r="L23" s="72"/>
      <c r="M23" s="72"/>
      <c r="N23" s="72"/>
    </row>
    <row r="24" spans="1:14">
      <c r="A24" s="72"/>
      <c r="B24" s="72"/>
      <c r="C24" s="72"/>
      <c r="D24" s="72"/>
      <c r="E24" s="72"/>
      <c r="F24" s="72"/>
      <c r="G24" s="72"/>
      <c r="H24" s="72"/>
      <c r="I24" s="72"/>
      <c r="J24" s="72"/>
      <c r="K24" s="72"/>
      <c r="L24" s="72"/>
      <c r="M24" s="72"/>
      <c r="N24" s="72"/>
    </row>
    <row r="25" spans="1:14">
      <c r="A25" s="72"/>
      <c r="B25" s="72"/>
      <c r="C25" s="72"/>
      <c r="D25" s="72"/>
      <c r="E25" s="72"/>
      <c r="F25" s="72"/>
      <c r="G25" s="72"/>
      <c r="H25" s="72"/>
      <c r="I25" s="72"/>
      <c r="J25" s="72"/>
      <c r="K25" s="72"/>
      <c r="L25" s="72"/>
      <c r="M25" s="72"/>
      <c r="N25" s="72"/>
    </row>
    <row r="26" spans="1:14">
      <c r="A26" s="72"/>
      <c r="B26" s="72"/>
      <c r="C26" s="72"/>
      <c r="D26" s="72"/>
      <c r="E26" s="72"/>
      <c r="F26" s="72"/>
      <c r="G26" s="72"/>
      <c r="H26" s="72"/>
      <c r="I26" s="72"/>
      <c r="J26" s="72"/>
      <c r="K26" s="72"/>
      <c r="L26" s="72"/>
      <c r="M26" s="72"/>
      <c r="N26" s="72"/>
    </row>
    <row r="27" spans="1:14">
      <c r="A27" s="72"/>
      <c r="B27" s="72"/>
      <c r="C27" s="72"/>
      <c r="D27" s="72"/>
      <c r="E27" s="72"/>
      <c r="F27" s="72"/>
      <c r="G27" s="72"/>
      <c r="H27" s="72"/>
      <c r="I27" s="72"/>
      <c r="J27" s="72"/>
      <c r="K27" s="72"/>
      <c r="L27" s="72"/>
      <c r="M27" s="72"/>
      <c r="N27" s="72"/>
    </row>
    <row r="28" spans="1:14">
      <c r="A28" s="72"/>
      <c r="B28" s="72"/>
      <c r="C28" s="72"/>
      <c r="D28" s="72"/>
      <c r="E28" s="72"/>
      <c r="F28" s="72"/>
      <c r="G28" s="72"/>
      <c r="H28" s="72"/>
      <c r="I28" s="72"/>
      <c r="J28" s="72"/>
      <c r="K28" s="72"/>
      <c r="L28" s="72"/>
      <c r="M28" s="72"/>
      <c r="N28" s="72"/>
    </row>
    <row r="29" spans="1:14">
      <c r="A29" s="72"/>
      <c r="B29" s="72"/>
      <c r="C29" s="72"/>
      <c r="D29" s="72"/>
      <c r="E29" s="72"/>
      <c r="F29" s="72"/>
      <c r="G29" s="72"/>
      <c r="H29" s="72"/>
      <c r="I29" s="72"/>
      <c r="J29" s="72"/>
      <c r="K29" s="72"/>
      <c r="L29" s="72"/>
      <c r="M29" s="72"/>
      <c r="N29" s="72"/>
    </row>
    <row r="30" spans="1:14">
      <c r="A30" s="72"/>
      <c r="B30" s="72"/>
      <c r="C30" s="72"/>
      <c r="D30" s="72"/>
      <c r="E30" s="72"/>
      <c r="F30" s="72"/>
      <c r="G30" s="72"/>
      <c r="H30" s="72"/>
      <c r="I30" s="72"/>
      <c r="J30" s="72"/>
      <c r="K30" s="72"/>
      <c r="L30" s="72"/>
      <c r="M30" s="72"/>
      <c r="N30" s="72"/>
    </row>
    <row r="31" spans="1:14">
      <c r="A31" s="72"/>
      <c r="B31" s="72"/>
      <c r="C31" s="72"/>
      <c r="D31" s="72"/>
      <c r="E31" s="72"/>
      <c r="F31" s="72"/>
      <c r="G31" s="72"/>
      <c r="H31" s="72"/>
      <c r="I31" s="72"/>
      <c r="J31" s="72"/>
      <c r="K31" s="72"/>
      <c r="L31" s="72"/>
      <c r="M31" s="72"/>
      <c r="N31" s="72"/>
    </row>
    <row r="32" spans="1:14">
      <c r="A32" s="72"/>
      <c r="B32" s="72"/>
      <c r="C32" s="72"/>
      <c r="D32" s="72"/>
      <c r="E32" s="72"/>
      <c r="F32" s="72"/>
      <c r="G32" s="72"/>
      <c r="H32" s="72"/>
      <c r="I32" s="72"/>
      <c r="J32" s="72"/>
      <c r="K32" s="72"/>
      <c r="L32" s="72"/>
      <c r="M32" s="72"/>
      <c r="N32" s="72"/>
    </row>
    <row r="33" spans="1:14">
      <c r="A33" s="72"/>
      <c r="B33" s="72"/>
      <c r="C33" s="72"/>
      <c r="D33" s="72"/>
      <c r="E33" s="72"/>
      <c r="F33" s="72"/>
      <c r="G33" s="72"/>
      <c r="H33" s="72"/>
      <c r="I33" s="72"/>
      <c r="J33" s="72"/>
      <c r="K33" s="72"/>
      <c r="L33" s="72"/>
      <c r="M33" s="72"/>
      <c r="N33" s="72"/>
    </row>
    <row r="34" spans="1:14">
      <c r="A34" s="72"/>
      <c r="B34" s="72"/>
      <c r="C34" s="72"/>
      <c r="D34" s="72"/>
      <c r="E34" s="72"/>
      <c r="F34" s="72"/>
      <c r="G34" s="72"/>
      <c r="H34" s="72"/>
      <c r="I34" s="72"/>
      <c r="J34" s="72"/>
      <c r="K34" s="72"/>
      <c r="L34" s="72"/>
      <c r="M34" s="72"/>
      <c r="N34" s="72"/>
    </row>
    <row r="36" spans="1:14">
      <c r="C36" s="84"/>
    </row>
  </sheetData>
  <hyperlinks>
    <hyperlink ref="A13" r:id="rId1" xr:uid="{D51C057E-B338-4C47-8D1D-A56DC7EC0EEC}"/>
    <hyperlink ref="A15" r:id="rId2" xr:uid="{4530B0D0-A8D9-49B9-B325-E72A77B7294D}"/>
    <hyperlink ref="A14" r:id="rId3" xr:uid="{9FAC5EF6-5495-4EFF-ABA8-339D388351F3}"/>
    <hyperlink ref="A16" r:id="rId4" xr:uid="{6A3F4ABB-10E6-2C4B-910E-9F1A4A6C2F8A}"/>
  </hyperlinks>
  <pageMargins left="0.7" right="0.7" top="0.75" bottom="0.75" header="0.3" footer="0.3"/>
  <pageSetup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B9BE7-96EA-4734-ACEB-3541550DB85A}">
  <sheetPr>
    <tabColor rgb="FF92D050"/>
  </sheetPr>
  <dimension ref="B1:AM67"/>
  <sheetViews>
    <sheetView showGridLines="0" workbookViewId="0">
      <pane xSplit="2" ySplit="5" topLeftCell="C6" activePane="bottomRight" state="frozen"/>
      <selection pane="topRight" activeCell="D1" sqref="D1"/>
      <selection pane="bottomLeft" activeCell="A6" sqref="A6"/>
      <selection pane="bottomRight" activeCell="D8" sqref="D8:I8"/>
    </sheetView>
  </sheetViews>
  <sheetFormatPr defaultColWidth="8.796875" defaultRowHeight="13.8"/>
  <cols>
    <col min="1" max="1" width="3" style="90" customWidth="1"/>
    <col min="2" max="2" width="33.796875" style="90" customWidth="1"/>
    <col min="3" max="3" width="11.59765625" style="164" customWidth="1"/>
    <col min="4" max="4" width="12.8984375" style="164" customWidth="1"/>
    <col min="5" max="10" width="12.8984375" style="90" customWidth="1"/>
    <col min="11" max="32" width="9.19921875" style="90" bestFit="1" customWidth="1"/>
    <col min="33" max="38" width="8.8984375" style="90" bestFit="1" customWidth="1"/>
    <col min="39" max="16384" width="8.796875" style="90"/>
  </cols>
  <sheetData>
    <row r="1" spans="2:39">
      <c r="C1" s="90"/>
      <c r="E1" s="164"/>
    </row>
    <row r="2" spans="2:39">
      <c r="C2" s="90"/>
      <c r="E2" s="164"/>
    </row>
    <row r="3" spans="2:39">
      <c r="B3" s="90" t="s">
        <v>272</v>
      </c>
      <c r="C3" s="236" t="s">
        <v>368</v>
      </c>
      <c r="E3" s="164"/>
    </row>
    <row r="4" spans="2:39">
      <c r="B4" s="90" t="s">
        <v>246</v>
      </c>
      <c r="C4" s="236" t="s">
        <v>367</v>
      </c>
      <c r="E4" s="164"/>
    </row>
    <row r="5" spans="2:39">
      <c r="B5" s="91" t="s">
        <v>243</v>
      </c>
      <c r="C5" s="234"/>
      <c r="D5" s="165">
        <v>45839</v>
      </c>
      <c r="E5" s="165">
        <v>45870</v>
      </c>
      <c r="F5" s="92">
        <v>45901</v>
      </c>
      <c r="G5" s="92">
        <v>45931</v>
      </c>
      <c r="H5" s="92">
        <v>45962</v>
      </c>
      <c r="I5" s="92">
        <v>45992</v>
      </c>
      <c r="J5" s="92">
        <v>46023</v>
      </c>
      <c r="K5" s="92">
        <v>46054</v>
      </c>
      <c r="L5" s="92">
        <v>46082</v>
      </c>
      <c r="M5" s="92">
        <v>46113</v>
      </c>
      <c r="N5" s="92">
        <v>46143</v>
      </c>
      <c r="O5" s="92">
        <v>46174</v>
      </c>
      <c r="P5" s="92">
        <v>46204</v>
      </c>
      <c r="Q5" s="92">
        <v>46235</v>
      </c>
      <c r="R5" s="92">
        <v>46266</v>
      </c>
      <c r="S5" s="92">
        <v>46296</v>
      </c>
      <c r="T5" s="92">
        <v>46327</v>
      </c>
      <c r="U5" s="92">
        <v>46357</v>
      </c>
      <c r="V5" s="92">
        <v>46388</v>
      </c>
      <c r="W5" s="92">
        <v>46419</v>
      </c>
      <c r="X5" s="92">
        <v>46447</v>
      </c>
      <c r="Y5" s="92">
        <v>46478</v>
      </c>
      <c r="Z5" s="92">
        <v>46508</v>
      </c>
      <c r="AA5" s="92">
        <v>46539</v>
      </c>
      <c r="AB5" s="92">
        <v>46569</v>
      </c>
      <c r="AC5" s="92">
        <v>46600</v>
      </c>
      <c r="AD5" s="92">
        <v>46631</v>
      </c>
      <c r="AE5" s="92">
        <v>46661</v>
      </c>
      <c r="AF5" s="92">
        <v>46692</v>
      </c>
      <c r="AG5" s="92">
        <v>46722</v>
      </c>
      <c r="AH5" s="92">
        <v>46753</v>
      </c>
      <c r="AI5" s="92">
        <v>46784</v>
      </c>
      <c r="AJ5" s="92">
        <v>46813</v>
      </c>
      <c r="AK5" s="92">
        <v>46844</v>
      </c>
      <c r="AL5" s="92">
        <v>46874</v>
      </c>
      <c r="AM5" s="92">
        <v>46905</v>
      </c>
    </row>
    <row r="6" spans="2:39">
      <c r="B6" s="90" t="s">
        <v>244</v>
      </c>
      <c r="C6" s="235">
        <v>4.5100000000000001E-3</v>
      </c>
      <c r="D6" s="166">
        <f>D8*0.3</f>
        <v>15</v>
      </c>
      <c r="E6" s="166">
        <f t="shared" ref="E6:J6" si="0">E8*0.3</f>
        <v>30</v>
      </c>
      <c r="F6" s="95">
        <f t="shared" si="0"/>
        <v>45</v>
      </c>
      <c r="G6" s="95">
        <f t="shared" si="0"/>
        <v>60</v>
      </c>
      <c r="H6" s="95">
        <f t="shared" si="0"/>
        <v>75</v>
      </c>
      <c r="I6" s="95">
        <f t="shared" si="0"/>
        <v>90</v>
      </c>
      <c r="J6" s="95">
        <f t="shared" si="0"/>
        <v>90</v>
      </c>
      <c r="K6" s="95">
        <f t="shared" ref="K6:AM6" si="1">K8*0.3</f>
        <v>90</v>
      </c>
      <c r="L6" s="95">
        <f t="shared" si="1"/>
        <v>90</v>
      </c>
      <c r="M6" s="95">
        <f t="shared" si="1"/>
        <v>90</v>
      </c>
      <c r="N6" s="95">
        <f t="shared" si="1"/>
        <v>90</v>
      </c>
      <c r="O6" s="95">
        <f t="shared" si="1"/>
        <v>90</v>
      </c>
      <c r="P6" s="95">
        <f t="shared" si="1"/>
        <v>90</v>
      </c>
      <c r="Q6" s="95">
        <f t="shared" si="1"/>
        <v>90</v>
      </c>
      <c r="R6" s="95">
        <f t="shared" si="1"/>
        <v>90</v>
      </c>
      <c r="S6" s="95">
        <f t="shared" si="1"/>
        <v>90</v>
      </c>
      <c r="T6" s="95">
        <f t="shared" si="1"/>
        <v>90</v>
      </c>
      <c r="U6" s="95">
        <f t="shared" si="1"/>
        <v>90</v>
      </c>
      <c r="V6" s="95">
        <f t="shared" si="1"/>
        <v>90</v>
      </c>
      <c r="W6" s="95">
        <f t="shared" si="1"/>
        <v>90</v>
      </c>
      <c r="X6" s="95">
        <f t="shared" si="1"/>
        <v>90</v>
      </c>
      <c r="Y6" s="95">
        <f t="shared" si="1"/>
        <v>90</v>
      </c>
      <c r="Z6" s="95">
        <f t="shared" si="1"/>
        <v>90</v>
      </c>
      <c r="AA6" s="95">
        <f t="shared" si="1"/>
        <v>90</v>
      </c>
      <c r="AB6" s="95">
        <f t="shared" si="1"/>
        <v>90</v>
      </c>
      <c r="AC6" s="95">
        <f t="shared" si="1"/>
        <v>90</v>
      </c>
      <c r="AD6" s="95">
        <f t="shared" si="1"/>
        <v>90</v>
      </c>
      <c r="AE6" s="95">
        <f t="shared" si="1"/>
        <v>90</v>
      </c>
      <c r="AF6" s="95">
        <f t="shared" si="1"/>
        <v>90</v>
      </c>
      <c r="AG6" s="95">
        <f t="shared" si="1"/>
        <v>90</v>
      </c>
      <c r="AH6" s="95">
        <f t="shared" si="1"/>
        <v>90</v>
      </c>
      <c r="AI6" s="95">
        <f t="shared" si="1"/>
        <v>90</v>
      </c>
      <c r="AJ6" s="95">
        <f t="shared" si="1"/>
        <v>90</v>
      </c>
      <c r="AK6" s="95">
        <f t="shared" si="1"/>
        <v>90</v>
      </c>
      <c r="AL6" s="95">
        <f t="shared" si="1"/>
        <v>90</v>
      </c>
      <c r="AM6" s="95">
        <f t="shared" si="1"/>
        <v>90</v>
      </c>
    </row>
    <row r="7" spans="2:39">
      <c r="B7" s="90" t="s">
        <v>245</v>
      </c>
      <c r="C7" s="235">
        <v>1.9099999999999996E-3</v>
      </c>
      <c r="D7" s="166">
        <f>D8*0.7</f>
        <v>35</v>
      </c>
      <c r="E7" s="166">
        <f t="shared" ref="E7:J7" si="2">E8*0.7</f>
        <v>70</v>
      </c>
      <c r="F7" s="95">
        <f t="shared" si="2"/>
        <v>105</v>
      </c>
      <c r="G7" s="95">
        <f t="shared" si="2"/>
        <v>140</v>
      </c>
      <c r="H7" s="95">
        <f t="shared" si="2"/>
        <v>175</v>
      </c>
      <c r="I7" s="95">
        <f t="shared" si="2"/>
        <v>210</v>
      </c>
      <c r="J7" s="95">
        <f t="shared" si="2"/>
        <v>210</v>
      </c>
      <c r="K7" s="95">
        <f t="shared" ref="K7" si="3">K8*0.7</f>
        <v>210</v>
      </c>
      <c r="L7" s="95">
        <f t="shared" ref="L7" si="4">L8*0.7</f>
        <v>210</v>
      </c>
      <c r="M7" s="95">
        <f t="shared" ref="M7" si="5">M8*0.7</f>
        <v>210</v>
      </c>
      <c r="N7" s="95">
        <f t="shared" ref="N7" si="6">N8*0.7</f>
        <v>210</v>
      </c>
      <c r="O7" s="95">
        <f t="shared" ref="O7:P7" si="7">O8*0.7</f>
        <v>210</v>
      </c>
      <c r="P7" s="95">
        <f t="shared" si="7"/>
        <v>210</v>
      </c>
      <c r="Q7" s="95">
        <f t="shared" ref="Q7" si="8">Q8*0.7</f>
        <v>210</v>
      </c>
      <c r="R7" s="95">
        <f t="shared" ref="R7" si="9">R8*0.7</f>
        <v>210</v>
      </c>
      <c r="S7" s="95">
        <f t="shared" ref="S7" si="10">S8*0.7</f>
        <v>210</v>
      </c>
      <c r="T7" s="95">
        <f t="shared" ref="T7" si="11">T8*0.7</f>
        <v>210</v>
      </c>
      <c r="U7" s="95">
        <f t="shared" ref="U7:V7" si="12">U8*0.7</f>
        <v>210</v>
      </c>
      <c r="V7" s="95">
        <f t="shared" si="12"/>
        <v>210</v>
      </c>
      <c r="W7" s="95">
        <f t="shared" ref="W7" si="13">W8*0.7</f>
        <v>210</v>
      </c>
      <c r="X7" s="95">
        <f t="shared" ref="X7" si="14">X8*0.7</f>
        <v>210</v>
      </c>
      <c r="Y7" s="95">
        <f t="shared" ref="Y7" si="15">Y8*0.7</f>
        <v>210</v>
      </c>
      <c r="Z7" s="95">
        <f t="shared" ref="Z7" si="16">Z8*0.7</f>
        <v>210</v>
      </c>
      <c r="AA7" s="95">
        <f t="shared" ref="AA7:AB7" si="17">AA8*0.7</f>
        <v>210</v>
      </c>
      <c r="AB7" s="95">
        <f t="shared" si="17"/>
        <v>210</v>
      </c>
      <c r="AC7" s="95">
        <f t="shared" ref="AC7" si="18">AC8*0.7</f>
        <v>210</v>
      </c>
      <c r="AD7" s="95">
        <f t="shared" ref="AD7" si="19">AD8*0.7</f>
        <v>210</v>
      </c>
      <c r="AE7" s="95">
        <f t="shared" ref="AE7" si="20">AE8*0.7</f>
        <v>210</v>
      </c>
      <c r="AF7" s="95">
        <f t="shared" ref="AF7" si="21">AF8*0.7</f>
        <v>210</v>
      </c>
      <c r="AG7" s="95">
        <f t="shared" ref="AG7:AH7" si="22">AG8*0.7</f>
        <v>210</v>
      </c>
      <c r="AH7" s="95">
        <f t="shared" si="22"/>
        <v>210</v>
      </c>
      <c r="AI7" s="95">
        <f t="shared" ref="AI7" si="23">AI8*0.7</f>
        <v>210</v>
      </c>
      <c r="AJ7" s="95">
        <f t="shared" ref="AJ7" si="24">AJ8*0.7</f>
        <v>210</v>
      </c>
      <c r="AK7" s="95">
        <f t="shared" ref="AK7" si="25">AK8*0.7</f>
        <v>210</v>
      </c>
      <c r="AL7" s="95">
        <f t="shared" ref="AL7" si="26">AL8*0.7</f>
        <v>210</v>
      </c>
      <c r="AM7" s="95">
        <f t="shared" ref="AM7" si="27">AM8*0.7</f>
        <v>210</v>
      </c>
    </row>
    <row r="8" spans="2:39">
      <c r="B8" s="90" t="s">
        <v>131</v>
      </c>
      <c r="C8" s="236"/>
      <c r="D8" s="166">
        <v>50</v>
      </c>
      <c r="E8" s="166">
        <v>100</v>
      </c>
      <c r="F8" s="95">
        <v>150</v>
      </c>
      <c r="G8" s="95">
        <v>200</v>
      </c>
      <c r="H8" s="95">
        <v>250</v>
      </c>
      <c r="I8" s="95">
        <v>300</v>
      </c>
      <c r="J8" s="95">
        <v>300</v>
      </c>
      <c r="K8" s="95">
        <v>300</v>
      </c>
      <c r="L8" s="95">
        <v>300</v>
      </c>
      <c r="M8" s="95">
        <v>300</v>
      </c>
      <c r="N8" s="95">
        <v>300</v>
      </c>
      <c r="O8" s="95">
        <v>300</v>
      </c>
      <c r="P8" s="95">
        <v>300</v>
      </c>
      <c r="Q8" s="95">
        <v>300</v>
      </c>
      <c r="R8" s="95">
        <v>300</v>
      </c>
      <c r="S8" s="95">
        <v>300</v>
      </c>
      <c r="T8" s="95">
        <v>300</v>
      </c>
      <c r="U8" s="95">
        <v>300</v>
      </c>
      <c r="V8" s="95">
        <v>300</v>
      </c>
      <c r="W8" s="95">
        <v>300</v>
      </c>
      <c r="X8" s="95">
        <v>300</v>
      </c>
      <c r="Y8" s="95">
        <v>300</v>
      </c>
      <c r="Z8" s="95">
        <v>300</v>
      </c>
      <c r="AA8" s="95">
        <v>300</v>
      </c>
      <c r="AB8" s="95">
        <v>300</v>
      </c>
      <c r="AC8" s="95">
        <v>300</v>
      </c>
      <c r="AD8" s="95">
        <v>300</v>
      </c>
      <c r="AE8" s="95">
        <v>300</v>
      </c>
      <c r="AF8" s="95">
        <v>300</v>
      </c>
      <c r="AG8" s="95">
        <v>300</v>
      </c>
      <c r="AH8" s="95">
        <v>300</v>
      </c>
      <c r="AI8" s="95">
        <v>300</v>
      </c>
      <c r="AJ8" s="95">
        <v>300</v>
      </c>
      <c r="AK8" s="95">
        <v>300</v>
      </c>
      <c r="AL8" s="95">
        <v>300</v>
      </c>
      <c r="AM8" s="95">
        <v>300</v>
      </c>
    </row>
    <row r="9" spans="2:39">
      <c r="C9" s="236"/>
      <c r="E9" s="164"/>
    </row>
    <row r="10" spans="2:39" s="167" customFormat="1" ht="12">
      <c r="B10" s="204" t="s">
        <v>319</v>
      </c>
      <c r="C10" s="229"/>
      <c r="D10" s="205"/>
      <c r="E10" s="205"/>
      <c r="F10" s="204"/>
      <c r="G10" s="204"/>
      <c r="H10" s="204"/>
      <c r="I10" s="204"/>
      <c r="J10" s="204"/>
      <c r="K10" s="204"/>
      <c r="L10" s="204"/>
      <c r="M10" s="204"/>
      <c r="N10" s="204"/>
      <c r="O10" s="204"/>
      <c r="P10" s="204"/>
      <c r="Q10" s="204"/>
      <c r="R10" s="204"/>
      <c r="S10" s="204"/>
      <c r="T10" s="204"/>
      <c r="U10" s="204"/>
      <c r="V10" s="204"/>
      <c r="W10" s="204"/>
      <c r="X10" s="204"/>
      <c r="Y10" s="204"/>
      <c r="Z10" s="204"/>
      <c r="AA10" s="204"/>
      <c r="AB10" s="204"/>
      <c r="AC10" s="204"/>
      <c r="AD10" s="204"/>
      <c r="AE10" s="204"/>
      <c r="AF10" s="204"/>
      <c r="AG10" s="204"/>
      <c r="AH10" s="204"/>
      <c r="AI10" s="204"/>
      <c r="AJ10" s="204"/>
      <c r="AK10" s="204"/>
      <c r="AL10" s="204"/>
      <c r="AM10" s="204"/>
    </row>
    <row r="11" spans="2:39" s="167" customFormat="1">
      <c r="B11" s="169" t="s">
        <v>307</v>
      </c>
      <c r="C11" s="235">
        <v>8.1355932203389821E-5</v>
      </c>
      <c r="D11" s="170">
        <f>D13/$C$54*1024</f>
        <v>6442450944</v>
      </c>
      <c r="E11" s="170">
        <f t="shared" ref="E11:I11" si="28">E13/$C$54*1024</f>
        <v>6442450944</v>
      </c>
      <c r="F11" s="170">
        <f t="shared" si="28"/>
        <v>6442450944</v>
      </c>
      <c r="G11" s="170">
        <f t="shared" si="28"/>
        <v>6442450944</v>
      </c>
      <c r="H11" s="170">
        <f t="shared" si="28"/>
        <v>6442450944</v>
      </c>
      <c r="I11" s="170">
        <f t="shared" si="28"/>
        <v>6442450944</v>
      </c>
      <c r="J11" s="200">
        <f t="shared" ref="J11:AG11" si="29">$C55*1000*60*60*730*$C$58/100*$J$6</f>
        <v>4443619500</v>
      </c>
      <c r="K11" s="170">
        <f t="shared" si="29"/>
        <v>4443619500</v>
      </c>
      <c r="L11" s="170">
        <f t="shared" si="29"/>
        <v>4443619500</v>
      </c>
      <c r="M11" s="170">
        <f t="shared" si="29"/>
        <v>4443619500</v>
      </c>
      <c r="N11" s="170">
        <f t="shared" si="29"/>
        <v>4443619500</v>
      </c>
      <c r="O11" s="170">
        <f t="shared" si="29"/>
        <v>4443619500</v>
      </c>
      <c r="P11" s="170">
        <f t="shared" si="29"/>
        <v>4443619500</v>
      </c>
      <c r="Q11" s="170">
        <f t="shared" si="29"/>
        <v>4443619500</v>
      </c>
      <c r="R11" s="170">
        <f t="shared" si="29"/>
        <v>4443619500</v>
      </c>
      <c r="S11" s="170">
        <f t="shared" si="29"/>
        <v>4443619500</v>
      </c>
      <c r="T11" s="170">
        <f t="shared" si="29"/>
        <v>4443619500</v>
      </c>
      <c r="U11" s="170">
        <f t="shared" si="29"/>
        <v>4443619500</v>
      </c>
      <c r="V11" s="170">
        <f t="shared" si="29"/>
        <v>4443619500</v>
      </c>
      <c r="W11" s="170">
        <f t="shared" si="29"/>
        <v>4443619500</v>
      </c>
      <c r="X11" s="170">
        <f t="shared" si="29"/>
        <v>4443619500</v>
      </c>
      <c r="Y11" s="170">
        <f t="shared" si="29"/>
        <v>4443619500</v>
      </c>
      <c r="Z11" s="170">
        <f t="shared" si="29"/>
        <v>4443619500</v>
      </c>
      <c r="AA11" s="170">
        <f t="shared" si="29"/>
        <v>4443619500</v>
      </c>
      <c r="AB11" s="170">
        <f t="shared" si="29"/>
        <v>4443619500</v>
      </c>
      <c r="AC11" s="170">
        <f t="shared" si="29"/>
        <v>4443619500</v>
      </c>
      <c r="AD11" s="170">
        <f t="shared" si="29"/>
        <v>4443619500</v>
      </c>
      <c r="AE11" s="170">
        <f t="shared" si="29"/>
        <v>4443619500</v>
      </c>
      <c r="AF11" s="170">
        <f t="shared" si="29"/>
        <v>4443619500</v>
      </c>
      <c r="AG11" s="170">
        <f t="shared" si="29"/>
        <v>4443619500</v>
      </c>
      <c r="AH11" s="170"/>
      <c r="AI11" s="170"/>
      <c r="AJ11" s="170"/>
      <c r="AK11" s="170"/>
      <c r="AL11" s="170"/>
      <c r="AM11" s="170"/>
    </row>
    <row r="12" spans="2:39" s="167" customFormat="1">
      <c r="B12" s="169" t="s">
        <v>320</v>
      </c>
      <c r="C12" s="235">
        <v>5.0847457627118645E-4</v>
      </c>
      <c r="D12" s="170">
        <f>D14/$C$54*1024</f>
        <v>644245094.39999998</v>
      </c>
      <c r="E12" s="170">
        <f t="shared" ref="E12:I12" si="30">E14/$C$54*1024</f>
        <v>644245094.39999998</v>
      </c>
      <c r="F12" s="170">
        <f t="shared" si="30"/>
        <v>644245094.39999998</v>
      </c>
      <c r="G12" s="170">
        <f t="shared" si="30"/>
        <v>644245094.39999998</v>
      </c>
      <c r="H12" s="170">
        <f t="shared" si="30"/>
        <v>644245094.39999998</v>
      </c>
      <c r="I12" s="170">
        <f t="shared" si="30"/>
        <v>644245094.39999998</v>
      </c>
      <c r="J12" s="170">
        <f t="shared" ref="J12:AG12" si="31">$C56*1000*60*60*730*$C$58/100*$J$6</f>
        <v>5332343400</v>
      </c>
      <c r="K12" s="170">
        <f t="shared" si="31"/>
        <v>5332343400</v>
      </c>
      <c r="L12" s="170">
        <f t="shared" si="31"/>
        <v>5332343400</v>
      </c>
      <c r="M12" s="170">
        <f t="shared" si="31"/>
        <v>5332343400</v>
      </c>
      <c r="N12" s="170">
        <f t="shared" si="31"/>
        <v>5332343400</v>
      </c>
      <c r="O12" s="170">
        <f t="shared" si="31"/>
        <v>5332343400</v>
      </c>
      <c r="P12" s="170">
        <f t="shared" si="31"/>
        <v>5332343400</v>
      </c>
      <c r="Q12" s="170">
        <f t="shared" si="31"/>
        <v>5332343400</v>
      </c>
      <c r="R12" s="170">
        <f t="shared" si="31"/>
        <v>5332343400</v>
      </c>
      <c r="S12" s="170">
        <f t="shared" si="31"/>
        <v>5332343400</v>
      </c>
      <c r="T12" s="170">
        <f t="shared" si="31"/>
        <v>5332343400</v>
      </c>
      <c r="U12" s="170">
        <f t="shared" si="31"/>
        <v>5332343400</v>
      </c>
      <c r="V12" s="170">
        <f t="shared" si="31"/>
        <v>5332343400</v>
      </c>
      <c r="W12" s="170">
        <f t="shared" si="31"/>
        <v>5332343400</v>
      </c>
      <c r="X12" s="170">
        <f t="shared" si="31"/>
        <v>5332343400</v>
      </c>
      <c r="Y12" s="170">
        <f t="shared" si="31"/>
        <v>5332343400</v>
      </c>
      <c r="Z12" s="170">
        <f t="shared" si="31"/>
        <v>5332343400</v>
      </c>
      <c r="AA12" s="170">
        <f t="shared" si="31"/>
        <v>5332343400</v>
      </c>
      <c r="AB12" s="170">
        <f t="shared" si="31"/>
        <v>5332343400</v>
      </c>
      <c r="AC12" s="170">
        <f t="shared" si="31"/>
        <v>5332343400</v>
      </c>
      <c r="AD12" s="170">
        <f t="shared" si="31"/>
        <v>5332343400</v>
      </c>
      <c r="AE12" s="170">
        <f t="shared" si="31"/>
        <v>5332343400</v>
      </c>
      <c r="AF12" s="170">
        <f t="shared" si="31"/>
        <v>5332343400</v>
      </c>
      <c r="AG12" s="170">
        <f t="shared" si="31"/>
        <v>5332343400</v>
      </c>
      <c r="AH12" s="170"/>
      <c r="AI12" s="170"/>
      <c r="AJ12" s="170"/>
      <c r="AK12" s="170"/>
      <c r="AL12" s="170"/>
      <c r="AM12" s="170"/>
    </row>
    <row r="13" spans="2:39" s="197" customFormat="1" ht="12">
      <c r="B13" s="202" t="s">
        <v>321</v>
      </c>
      <c r="C13" s="237"/>
      <c r="D13" s="203">
        <f>D6*1024*1024</f>
        <v>15728640</v>
      </c>
      <c r="E13" s="203">
        <f>(E6-D6)*1024*1024</f>
        <v>15728640</v>
      </c>
      <c r="F13" s="203">
        <f t="shared" ref="F13:I13" si="32">(F6-E6)*1024*1024</f>
        <v>15728640</v>
      </c>
      <c r="G13" s="203">
        <f t="shared" si="32"/>
        <v>15728640</v>
      </c>
      <c r="H13" s="203">
        <f t="shared" si="32"/>
        <v>15728640</v>
      </c>
      <c r="I13" s="203">
        <f t="shared" si="32"/>
        <v>15728640</v>
      </c>
      <c r="J13" s="198">
        <f t="shared" ref="J13:AG13" si="33">$C59/100*$J$6*730/24*1024*1024</f>
        <v>9472573.4399999995</v>
      </c>
      <c r="K13" s="198">
        <f t="shared" si="33"/>
        <v>9472573.4399999995</v>
      </c>
      <c r="L13" s="198">
        <f t="shared" si="33"/>
        <v>9472573.4399999995</v>
      </c>
      <c r="M13" s="198">
        <f t="shared" si="33"/>
        <v>9472573.4399999995</v>
      </c>
      <c r="N13" s="198">
        <f t="shared" si="33"/>
        <v>9472573.4399999995</v>
      </c>
      <c r="O13" s="198">
        <f t="shared" si="33"/>
        <v>9472573.4399999995</v>
      </c>
      <c r="P13" s="198">
        <f t="shared" si="33"/>
        <v>9472573.4399999995</v>
      </c>
      <c r="Q13" s="198">
        <f t="shared" si="33"/>
        <v>9472573.4399999995</v>
      </c>
      <c r="R13" s="198">
        <f t="shared" si="33"/>
        <v>9472573.4399999995</v>
      </c>
      <c r="S13" s="198">
        <f t="shared" si="33"/>
        <v>9472573.4399999995</v>
      </c>
      <c r="T13" s="198">
        <f t="shared" si="33"/>
        <v>9472573.4399999995</v>
      </c>
      <c r="U13" s="198">
        <f t="shared" si="33"/>
        <v>9472573.4399999995</v>
      </c>
      <c r="V13" s="198">
        <f t="shared" si="33"/>
        <v>9472573.4399999995</v>
      </c>
      <c r="W13" s="198">
        <f t="shared" si="33"/>
        <v>9472573.4399999995</v>
      </c>
      <c r="X13" s="198">
        <f t="shared" si="33"/>
        <v>9472573.4399999995</v>
      </c>
      <c r="Y13" s="198">
        <f t="shared" si="33"/>
        <v>9472573.4399999995</v>
      </c>
      <c r="Z13" s="198">
        <f t="shared" si="33"/>
        <v>9472573.4399999995</v>
      </c>
      <c r="AA13" s="198">
        <f t="shared" si="33"/>
        <v>9472573.4399999995</v>
      </c>
      <c r="AB13" s="198">
        <f t="shared" si="33"/>
        <v>9472573.4399999995</v>
      </c>
      <c r="AC13" s="198">
        <f t="shared" si="33"/>
        <v>9472573.4399999995</v>
      </c>
      <c r="AD13" s="198">
        <f t="shared" si="33"/>
        <v>9472573.4399999995</v>
      </c>
      <c r="AE13" s="198">
        <f t="shared" si="33"/>
        <v>9472573.4399999995</v>
      </c>
      <c r="AF13" s="198">
        <f t="shared" si="33"/>
        <v>9472573.4399999995</v>
      </c>
      <c r="AG13" s="198">
        <f t="shared" si="33"/>
        <v>9472573.4399999995</v>
      </c>
      <c r="AH13" s="198"/>
      <c r="AI13" s="198"/>
      <c r="AJ13" s="198"/>
      <c r="AK13" s="198"/>
      <c r="AL13" s="198"/>
      <c r="AM13" s="198"/>
    </row>
    <row r="14" spans="2:39" s="167" customFormat="1">
      <c r="B14" s="202" t="s">
        <v>306</v>
      </c>
      <c r="C14" s="235">
        <v>1.7790254237288139E-2</v>
      </c>
      <c r="D14" s="203">
        <f>D13/$C$60</f>
        <v>1572864</v>
      </c>
      <c r="E14" s="203">
        <f t="shared" ref="E14:I14" si="34">E13/$C$60</f>
        <v>1572864</v>
      </c>
      <c r="F14" s="203">
        <f t="shared" si="34"/>
        <v>1572864</v>
      </c>
      <c r="G14" s="203">
        <f t="shared" si="34"/>
        <v>1572864</v>
      </c>
      <c r="H14" s="203">
        <f t="shared" si="34"/>
        <v>1572864</v>
      </c>
      <c r="I14" s="203">
        <f t="shared" si="34"/>
        <v>1572864</v>
      </c>
      <c r="J14" s="170">
        <f>J13/$C$60</f>
        <v>947257.34399999992</v>
      </c>
      <c r="K14" s="170">
        <f t="shared" ref="K14:AG14" si="35">K13/$C$60</f>
        <v>947257.34399999992</v>
      </c>
      <c r="L14" s="170">
        <f t="shared" si="35"/>
        <v>947257.34399999992</v>
      </c>
      <c r="M14" s="170">
        <f t="shared" si="35"/>
        <v>947257.34399999992</v>
      </c>
      <c r="N14" s="170">
        <f t="shared" si="35"/>
        <v>947257.34399999992</v>
      </c>
      <c r="O14" s="170">
        <f t="shared" si="35"/>
        <v>947257.34399999992</v>
      </c>
      <c r="P14" s="170">
        <f t="shared" si="35"/>
        <v>947257.34399999992</v>
      </c>
      <c r="Q14" s="170">
        <f t="shared" si="35"/>
        <v>947257.34399999992</v>
      </c>
      <c r="R14" s="170">
        <f t="shared" si="35"/>
        <v>947257.34399999992</v>
      </c>
      <c r="S14" s="170">
        <f t="shared" si="35"/>
        <v>947257.34399999992</v>
      </c>
      <c r="T14" s="170">
        <f t="shared" si="35"/>
        <v>947257.34399999992</v>
      </c>
      <c r="U14" s="170">
        <f t="shared" si="35"/>
        <v>947257.34399999992</v>
      </c>
      <c r="V14" s="170">
        <f t="shared" si="35"/>
        <v>947257.34399999992</v>
      </c>
      <c r="W14" s="170">
        <f t="shared" si="35"/>
        <v>947257.34399999992</v>
      </c>
      <c r="X14" s="170">
        <f t="shared" si="35"/>
        <v>947257.34399999992</v>
      </c>
      <c r="Y14" s="170">
        <f t="shared" si="35"/>
        <v>947257.34399999992</v>
      </c>
      <c r="Z14" s="170">
        <f t="shared" si="35"/>
        <v>947257.34399999992</v>
      </c>
      <c r="AA14" s="170">
        <f t="shared" si="35"/>
        <v>947257.34399999992</v>
      </c>
      <c r="AB14" s="170">
        <f t="shared" si="35"/>
        <v>947257.34399999992</v>
      </c>
      <c r="AC14" s="170">
        <f t="shared" si="35"/>
        <v>947257.34399999992</v>
      </c>
      <c r="AD14" s="170">
        <f t="shared" si="35"/>
        <v>947257.34399999992</v>
      </c>
      <c r="AE14" s="170">
        <f t="shared" si="35"/>
        <v>947257.34399999992</v>
      </c>
      <c r="AF14" s="170">
        <f t="shared" si="35"/>
        <v>947257.34399999992</v>
      </c>
      <c r="AG14" s="170">
        <f t="shared" si="35"/>
        <v>947257.34399999992</v>
      </c>
      <c r="AH14" s="170"/>
      <c r="AI14" s="170"/>
      <c r="AJ14" s="170"/>
      <c r="AK14" s="170"/>
      <c r="AL14" s="170"/>
      <c r="AM14" s="170"/>
    </row>
    <row r="15" spans="2:39" s="167" customFormat="1" ht="12">
      <c r="B15" s="208" t="s">
        <v>331</v>
      </c>
      <c r="C15" s="238"/>
      <c r="D15" s="209">
        <f t="shared" ref="D15:I15" si="36">D11/D$6/1024/1024</f>
        <v>409.6</v>
      </c>
      <c r="E15" s="209">
        <f t="shared" si="36"/>
        <v>204.8</v>
      </c>
      <c r="F15" s="209">
        <f t="shared" si="36"/>
        <v>136.53333333333333</v>
      </c>
      <c r="G15" s="209">
        <f t="shared" si="36"/>
        <v>102.4</v>
      </c>
      <c r="H15" s="209">
        <f>H11/H$6/1024/1024</f>
        <v>81.92</v>
      </c>
      <c r="I15" s="209">
        <f t="shared" si="36"/>
        <v>68.266666666666666</v>
      </c>
      <c r="J15" s="209">
        <f>J11/J$6/1024/1024</f>
        <v>47.086286544799805</v>
      </c>
      <c r="K15" s="170"/>
      <c r="L15" s="170"/>
      <c r="M15" s="170"/>
      <c r="N15" s="170"/>
      <c r="O15" s="170"/>
      <c r="P15" s="170"/>
      <c r="Q15" s="170"/>
      <c r="R15" s="170"/>
      <c r="S15" s="170"/>
      <c r="T15" s="170"/>
      <c r="U15" s="170"/>
      <c r="V15" s="170"/>
      <c r="W15" s="170"/>
      <c r="X15" s="170"/>
      <c r="Y15" s="170"/>
      <c r="Z15" s="170"/>
      <c r="AA15" s="170"/>
      <c r="AB15" s="170"/>
      <c r="AC15" s="170"/>
      <c r="AD15" s="170"/>
      <c r="AE15" s="170"/>
      <c r="AF15" s="170"/>
      <c r="AG15" s="170"/>
      <c r="AH15" s="170"/>
      <c r="AI15" s="170"/>
      <c r="AJ15" s="170"/>
      <c r="AK15" s="170"/>
      <c r="AL15" s="170"/>
      <c r="AM15" s="170"/>
    </row>
    <row r="16" spans="2:39" s="167" customFormat="1" ht="12">
      <c r="B16" s="208" t="s">
        <v>332</v>
      </c>
      <c r="C16" s="238"/>
      <c r="D16" s="209">
        <f>D12/D$6/1024/1024</f>
        <v>40.96</v>
      </c>
      <c r="E16" s="209">
        <f t="shared" ref="E16:I16" si="37">E12/E$6/1024/1024</f>
        <v>20.48</v>
      </c>
      <c r="F16" s="209">
        <f t="shared" si="37"/>
        <v>13.653333333333332</v>
      </c>
      <c r="G16" s="209">
        <f t="shared" si="37"/>
        <v>10.24</v>
      </c>
      <c r="H16" s="209">
        <f t="shared" si="37"/>
        <v>8.1920000000000002</v>
      </c>
      <c r="I16" s="209">
        <f t="shared" si="37"/>
        <v>6.8266666666666662</v>
      </c>
      <c r="J16" s="209">
        <f>J12/J$6/1024/1024</f>
        <v>56.503543853759766</v>
      </c>
      <c r="K16" s="170"/>
      <c r="L16" s="170"/>
      <c r="M16" s="170"/>
      <c r="N16" s="170"/>
      <c r="O16" s="170"/>
      <c r="P16" s="170"/>
      <c r="Q16" s="170"/>
      <c r="R16" s="170"/>
      <c r="S16" s="170"/>
      <c r="T16" s="170"/>
      <c r="U16" s="170"/>
      <c r="V16" s="170"/>
      <c r="W16" s="170"/>
      <c r="X16" s="170"/>
      <c r="Y16" s="170"/>
      <c r="Z16" s="170"/>
      <c r="AA16" s="170"/>
      <c r="AB16" s="170"/>
      <c r="AC16" s="170"/>
      <c r="AD16" s="170"/>
      <c r="AE16" s="170"/>
      <c r="AF16" s="170"/>
      <c r="AG16" s="170"/>
      <c r="AH16" s="170"/>
      <c r="AI16" s="170"/>
      <c r="AJ16" s="170"/>
      <c r="AK16" s="170"/>
      <c r="AL16" s="170"/>
      <c r="AM16" s="170"/>
    </row>
    <row r="17" spans="2:39" s="167" customFormat="1" ht="12">
      <c r="B17" s="208" t="s">
        <v>333</v>
      </c>
      <c r="C17" s="238"/>
      <c r="D17" s="210">
        <f t="shared" ref="D17:H17" si="38">D14/D6/1024/1024</f>
        <v>0.1</v>
      </c>
      <c r="E17" s="210">
        <f t="shared" si="38"/>
        <v>0.05</v>
      </c>
      <c r="F17" s="210">
        <f t="shared" si="38"/>
        <v>3.3333333333333333E-2</v>
      </c>
      <c r="G17" s="210">
        <f t="shared" si="38"/>
        <v>2.5000000000000001E-2</v>
      </c>
      <c r="H17" s="210">
        <f t="shared" si="38"/>
        <v>0.02</v>
      </c>
      <c r="I17" s="210">
        <f>I14/I6/1024/1024</f>
        <v>1.6666666666666666E-2</v>
      </c>
      <c r="J17" s="210">
        <f>J14/J6/1024/1024</f>
        <v>1.00375E-2</v>
      </c>
      <c r="K17" s="170"/>
      <c r="L17" s="170"/>
      <c r="M17" s="170"/>
      <c r="N17" s="170"/>
      <c r="O17" s="170"/>
      <c r="P17" s="170"/>
      <c r="Q17" s="170"/>
      <c r="R17" s="170"/>
      <c r="S17" s="170"/>
      <c r="T17" s="170"/>
      <c r="U17" s="170"/>
      <c r="V17" s="170"/>
      <c r="W17" s="170"/>
      <c r="X17" s="170"/>
      <c r="Y17" s="170"/>
      <c r="Z17" s="170"/>
      <c r="AA17" s="170"/>
      <c r="AB17" s="170"/>
      <c r="AC17" s="170"/>
      <c r="AD17" s="170"/>
      <c r="AE17" s="170"/>
      <c r="AF17" s="170"/>
      <c r="AG17" s="170"/>
      <c r="AH17" s="170"/>
      <c r="AI17" s="170"/>
      <c r="AJ17" s="170"/>
      <c r="AK17" s="170"/>
      <c r="AL17" s="170"/>
      <c r="AM17" s="170"/>
    </row>
    <row r="18" spans="2:39" s="167" customFormat="1" ht="12">
      <c r="B18" s="229" t="s">
        <v>365</v>
      </c>
      <c r="C18" s="229"/>
      <c r="D18" s="230">
        <f>D6*C6*1024*1024+D11*C11/1000+D12*C12/10000+D14*C14</f>
        <v>99474.706668040686</v>
      </c>
      <c r="E18" s="230">
        <f>E6*C6*1024*1024+E11*C11/1000+E12*C12/10000+E14*C14</f>
        <v>170410.87306804067</v>
      </c>
      <c r="F18" s="230">
        <f>F6*C6*1024*1024+F11*C11/1000+F12*C12/10000++F14*C14</f>
        <v>241347.03946804069</v>
      </c>
      <c r="G18" s="230">
        <f>G6*C6*1024*1024+G11*C11/1000+G12*C12/10000+G14*C14</f>
        <v>312283.20586804068</v>
      </c>
      <c r="H18" s="230">
        <f>H6*C6*1024*1024+H11*C11/1000+H12*C12/10000++H14*C14</f>
        <v>383219.37226804066</v>
      </c>
      <c r="I18" s="230">
        <f>I6*C6*1024*1024+I11*C11/1000+I12*C12/10000+I14*C14</f>
        <v>454155.53866804077</v>
      </c>
      <c r="J18" s="230">
        <f>J6*C6*1024*1024+J11*C11/1000+J12*C12/10000+J14*C14</f>
        <v>443101.59828976274</v>
      </c>
      <c r="K18" s="230">
        <f>K6*C6*1024*1024+K11*C11/1000+K12*C12/10000+K14*C14</f>
        <v>443101.59828976274</v>
      </c>
      <c r="L18" s="171"/>
      <c r="M18" s="171"/>
      <c r="N18" s="171"/>
      <c r="O18" s="171"/>
      <c r="P18" s="171"/>
      <c r="Q18" s="171"/>
      <c r="R18" s="171"/>
      <c r="S18" s="171"/>
      <c r="T18" s="171"/>
      <c r="U18" s="171"/>
      <c r="V18" s="171"/>
      <c r="W18" s="171"/>
      <c r="X18" s="171"/>
      <c r="Y18" s="171"/>
      <c r="Z18" s="171"/>
      <c r="AA18" s="171"/>
      <c r="AB18" s="171"/>
      <c r="AC18" s="171"/>
      <c r="AD18" s="171"/>
      <c r="AE18" s="171"/>
      <c r="AF18" s="171"/>
      <c r="AG18" s="171"/>
      <c r="AH18" s="171"/>
      <c r="AI18" s="171"/>
      <c r="AJ18" s="171"/>
      <c r="AK18" s="171"/>
      <c r="AL18" s="171"/>
      <c r="AM18" s="171"/>
    </row>
    <row r="19" spans="2:39" s="167" customFormat="1" ht="12">
      <c r="B19" s="229" t="s">
        <v>358</v>
      </c>
      <c r="C19" s="229"/>
      <c r="D19" s="230">
        <f>D11*C11/1000+D12*C12/10000+D14*C14</f>
        <v>28538.540268040684</v>
      </c>
      <c r="E19" s="230">
        <f>E11*C11/1000+E12*C12/10000+E14*C14</f>
        <v>28538.540268040684</v>
      </c>
      <c r="F19" s="230">
        <f>F11*C11/1000+F12*C12/10000+F14*C14</f>
        <v>28538.540268040684</v>
      </c>
      <c r="G19" s="230">
        <f>G11*C11/1000+G12*C12/10000+G14*C14</f>
        <v>28538.540268040684</v>
      </c>
      <c r="H19" s="230">
        <f>H11*C11/1000+H12*C12/10000+H14*C14</f>
        <v>28538.540268040684</v>
      </c>
      <c r="I19" s="230">
        <f>I11*C11/1000+I12*C12/10000+I14*C14</f>
        <v>28538.540268040684</v>
      </c>
      <c r="J19" s="230">
        <f>J11*C11/1000+J12*C12/10000+J14*C14</f>
        <v>17484.599889762714</v>
      </c>
      <c r="K19" s="231">
        <f>K11*C11/1000+K12*C12/10000+K14*C14</f>
        <v>17484.599889762714</v>
      </c>
      <c r="L19" s="171"/>
      <c r="M19" s="171"/>
      <c r="N19" s="171"/>
      <c r="O19" s="171"/>
      <c r="P19" s="171"/>
      <c r="Q19" s="171"/>
      <c r="R19" s="171"/>
      <c r="S19" s="171"/>
      <c r="T19" s="171"/>
      <c r="U19" s="171"/>
      <c r="V19" s="171"/>
      <c r="W19" s="171"/>
      <c r="X19" s="171"/>
      <c r="Y19" s="171"/>
      <c r="Z19" s="171"/>
      <c r="AA19" s="171"/>
      <c r="AB19" s="171"/>
      <c r="AC19" s="171"/>
      <c r="AD19" s="171"/>
      <c r="AE19" s="171"/>
      <c r="AF19" s="171"/>
      <c r="AG19" s="171"/>
      <c r="AH19" s="171"/>
      <c r="AI19" s="171"/>
      <c r="AJ19" s="171"/>
      <c r="AK19" s="171"/>
      <c r="AL19" s="171"/>
      <c r="AM19" s="171"/>
    </row>
    <row r="20" spans="2:39" s="167" customFormat="1" ht="12">
      <c r="C20" s="229"/>
      <c r="D20" s="228"/>
      <c r="E20" s="168"/>
      <c r="F20" s="168"/>
      <c r="G20" s="168"/>
      <c r="H20" s="168"/>
      <c r="I20" s="168"/>
      <c r="J20" s="168"/>
      <c r="K20" s="171"/>
      <c r="L20" s="171"/>
      <c r="M20" s="171"/>
      <c r="N20" s="171"/>
      <c r="O20" s="171"/>
      <c r="P20" s="171"/>
      <c r="Q20" s="171"/>
      <c r="R20" s="171"/>
      <c r="S20" s="171"/>
      <c r="T20" s="171"/>
      <c r="U20" s="171"/>
      <c r="V20" s="171"/>
      <c r="W20" s="171"/>
      <c r="X20" s="171"/>
      <c r="Y20" s="171"/>
      <c r="Z20" s="171"/>
      <c r="AA20" s="171"/>
      <c r="AB20" s="171"/>
      <c r="AC20" s="171"/>
      <c r="AD20" s="171"/>
      <c r="AE20" s="171"/>
      <c r="AF20" s="171"/>
      <c r="AG20" s="171"/>
      <c r="AH20" s="171"/>
      <c r="AI20" s="171"/>
      <c r="AJ20" s="171"/>
      <c r="AK20" s="171"/>
      <c r="AL20" s="171"/>
      <c r="AM20" s="171"/>
    </row>
    <row r="21" spans="2:39" s="167" customFormat="1" ht="12">
      <c r="B21" s="204" t="s">
        <v>245</v>
      </c>
      <c r="C21" s="229"/>
      <c r="D21" s="205"/>
      <c r="E21" s="205"/>
      <c r="F21" s="204"/>
      <c r="G21" s="204"/>
      <c r="H21" s="204"/>
      <c r="I21" s="204"/>
      <c r="J21" s="206"/>
      <c r="K21" s="206"/>
      <c r="L21" s="206"/>
      <c r="M21" s="206"/>
      <c r="N21" s="206"/>
      <c r="O21" s="206"/>
      <c r="P21" s="206"/>
      <c r="Q21" s="206"/>
      <c r="R21" s="206"/>
      <c r="S21" s="206"/>
      <c r="T21" s="206"/>
      <c r="U21" s="206"/>
      <c r="V21" s="206"/>
      <c r="W21" s="206"/>
      <c r="X21" s="206"/>
      <c r="Y21" s="206"/>
      <c r="Z21" s="206"/>
      <c r="AA21" s="206"/>
      <c r="AB21" s="206"/>
      <c r="AC21" s="206"/>
      <c r="AD21" s="206"/>
      <c r="AE21" s="206"/>
      <c r="AF21" s="206"/>
      <c r="AG21" s="206"/>
      <c r="AH21" s="206"/>
      <c r="AI21" s="206"/>
      <c r="AJ21" s="206"/>
      <c r="AK21" s="206"/>
      <c r="AL21" s="206"/>
      <c r="AM21" s="206"/>
    </row>
    <row r="22" spans="2:39" s="167" customFormat="1">
      <c r="B22" s="169" t="s">
        <v>307</v>
      </c>
      <c r="C22" s="235">
        <v>8.9000000000000027E-4</v>
      </c>
      <c r="D22" s="170">
        <f>D25/$C$54*1024</f>
        <v>15032385536</v>
      </c>
      <c r="E22" s="170">
        <f t="shared" ref="E22:I22" si="39">E25/$C$54*1024</f>
        <v>15032385536</v>
      </c>
      <c r="F22" s="170">
        <f t="shared" si="39"/>
        <v>15032385536</v>
      </c>
      <c r="G22" s="170">
        <f t="shared" si="39"/>
        <v>15032385536</v>
      </c>
      <c r="H22" s="170">
        <f t="shared" si="39"/>
        <v>15032385536</v>
      </c>
      <c r="I22" s="170">
        <f t="shared" si="39"/>
        <v>15032385536</v>
      </c>
      <c r="J22" s="170">
        <f t="shared" ref="J22:AG22" si="40">J11/$J$6*$J$7*$C$61</f>
        <v>3110533650</v>
      </c>
      <c r="K22" s="170">
        <f t="shared" si="40"/>
        <v>3110533650</v>
      </c>
      <c r="L22" s="170">
        <f t="shared" si="40"/>
        <v>3110533650</v>
      </c>
      <c r="M22" s="170">
        <f t="shared" si="40"/>
        <v>3110533650</v>
      </c>
      <c r="N22" s="170">
        <f t="shared" si="40"/>
        <v>3110533650</v>
      </c>
      <c r="O22" s="170">
        <f t="shared" si="40"/>
        <v>3110533650</v>
      </c>
      <c r="P22" s="170">
        <f t="shared" si="40"/>
        <v>3110533650</v>
      </c>
      <c r="Q22" s="170">
        <f t="shared" si="40"/>
        <v>3110533650</v>
      </c>
      <c r="R22" s="170">
        <f t="shared" si="40"/>
        <v>3110533650</v>
      </c>
      <c r="S22" s="170">
        <f t="shared" si="40"/>
        <v>3110533650</v>
      </c>
      <c r="T22" s="170">
        <f t="shared" si="40"/>
        <v>3110533650</v>
      </c>
      <c r="U22" s="170">
        <f t="shared" si="40"/>
        <v>3110533650</v>
      </c>
      <c r="V22" s="170">
        <f t="shared" si="40"/>
        <v>3110533650</v>
      </c>
      <c r="W22" s="170">
        <f t="shared" si="40"/>
        <v>3110533650</v>
      </c>
      <c r="X22" s="170">
        <f t="shared" si="40"/>
        <v>3110533650</v>
      </c>
      <c r="Y22" s="170">
        <f t="shared" si="40"/>
        <v>3110533650</v>
      </c>
      <c r="Z22" s="170">
        <f t="shared" si="40"/>
        <v>3110533650</v>
      </c>
      <c r="AA22" s="170">
        <f t="shared" si="40"/>
        <v>3110533650</v>
      </c>
      <c r="AB22" s="170">
        <f t="shared" si="40"/>
        <v>3110533650</v>
      </c>
      <c r="AC22" s="170">
        <f t="shared" si="40"/>
        <v>3110533650</v>
      </c>
      <c r="AD22" s="170">
        <f t="shared" si="40"/>
        <v>3110533650</v>
      </c>
      <c r="AE22" s="170">
        <f t="shared" si="40"/>
        <v>3110533650</v>
      </c>
      <c r="AF22" s="170">
        <f t="shared" si="40"/>
        <v>3110533650</v>
      </c>
      <c r="AG22" s="170">
        <f t="shared" si="40"/>
        <v>3110533650</v>
      </c>
      <c r="AH22" s="170"/>
      <c r="AI22" s="170"/>
      <c r="AJ22" s="170"/>
      <c r="AK22" s="170"/>
      <c r="AL22" s="170"/>
      <c r="AM22" s="170"/>
    </row>
    <row r="23" spans="2:39" s="167" customFormat="1">
      <c r="B23" s="169" t="s">
        <v>320</v>
      </c>
      <c r="C23" s="235">
        <v>3.0000000000000009E-3</v>
      </c>
      <c r="D23" s="170">
        <f>D26/$C$54*1024</f>
        <v>450971566.08000004</v>
      </c>
      <c r="E23" s="170">
        <f t="shared" ref="E23:I23" si="41">E26/$C$54*1024</f>
        <v>450971566.08000004</v>
      </c>
      <c r="F23" s="170">
        <f t="shared" si="41"/>
        <v>450971566.08000004</v>
      </c>
      <c r="G23" s="170">
        <f t="shared" si="41"/>
        <v>450971566.08000004</v>
      </c>
      <c r="H23" s="170">
        <f t="shared" si="41"/>
        <v>450971566.08000004</v>
      </c>
      <c r="I23" s="170">
        <f t="shared" si="41"/>
        <v>450971566.08000004</v>
      </c>
      <c r="J23" s="170">
        <f t="shared" ref="J23:AG23" si="42">J12/$J$6*$J$7*$C$61</f>
        <v>3732640380</v>
      </c>
      <c r="K23" s="170">
        <f t="shared" si="42"/>
        <v>3732640380</v>
      </c>
      <c r="L23" s="170">
        <f t="shared" si="42"/>
        <v>3732640380</v>
      </c>
      <c r="M23" s="170">
        <f t="shared" si="42"/>
        <v>3732640380</v>
      </c>
      <c r="N23" s="170">
        <f t="shared" si="42"/>
        <v>3732640380</v>
      </c>
      <c r="O23" s="170">
        <f t="shared" si="42"/>
        <v>3732640380</v>
      </c>
      <c r="P23" s="170">
        <f t="shared" si="42"/>
        <v>3732640380</v>
      </c>
      <c r="Q23" s="170">
        <f t="shared" si="42"/>
        <v>3732640380</v>
      </c>
      <c r="R23" s="170">
        <f t="shared" si="42"/>
        <v>3732640380</v>
      </c>
      <c r="S23" s="170">
        <f t="shared" si="42"/>
        <v>3732640380</v>
      </c>
      <c r="T23" s="170">
        <f t="shared" si="42"/>
        <v>3732640380</v>
      </c>
      <c r="U23" s="170">
        <f t="shared" si="42"/>
        <v>3732640380</v>
      </c>
      <c r="V23" s="170">
        <f t="shared" si="42"/>
        <v>3732640380</v>
      </c>
      <c r="W23" s="170">
        <f t="shared" si="42"/>
        <v>3732640380</v>
      </c>
      <c r="X23" s="170">
        <f t="shared" si="42"/>
        <v>3732640380</v>
      </c>
      <c r="Y23" s="170">
        <f t="shared" si="42"/>
        <v>3732640380</v>
      </c>
      <c r="Z23" s="170">
        <f t="shared" si="42"/>
        <v>3732640380</v>
      </c>
      <c r="AA23" s="170">
        <f t="shared" si="42"/>
        <v>3732640380</v>
      </c>
      <c r="AB23" s="170">
        <f t="shared" si="42"/>
        <v>3732640380</v>
      </c>
      <c r="AC23" s="170">
        <f t="shared" si="42"/>
        <v>3732640380</v>
      </c>
      <c r="AD23" s="170">
        <f t="shared" si="42"/>
        <v>3732640380</v>
      </c>
      <c r="AE23" s="170">
        <f t="shared" si="42"/>
        <v>3732640380</v>
      </c>
      <c r="AF23" s="170">
        <f t="shared" si="42"/>
        <v>3732640380</v>
      </c>
      <c r="AG23" s="170">
        <f t="shared" si="42"/>
        <v>3732640380</v>
      </c>
      <c r="AH23" s="170"/>
      <c r="AI23" s="170"/>
      <c r="AJ23" s="170"/>
      <c r="AK23" s="170"/>
      <c r="AL23" s="170"/>
      <c r="AM23" s="170"/>
    </row>
    <row r="24" spans="2:39" s="167" customFormat="1">
      <c r="B24" s="169" t="s">
        <v>305</v>
      </c>
      <c r="C24" s="235">
        <v>2.1000000000000003E-3</v>
      </c>
      <c r="D24" s="207">
        <f>D26</f>
        <v>1101004.8</v>
      </c>
      <c r="E24" s="207">
        <f t="shared" ref="E24:I24" si="43">E26</f>
        <v>1101004.8</v>
      </c>
      <c r="F24" s="207">
        <f t="shared" si="43"/>
        <v>1101004.8</v>
      </c>
      <c r="G24" s="207">
        <f t="shared" si="43"/>
        <v>1101004.8</v>
      </c>
      <c r="H24" s="207">
        <f t="shared" si="43"/>
        <v>1101004.8</v>
      </c>
      <c r="I24" s="207">
        <f t="shared" si="43"/>
        <v>1101004.8</v>
      </c>
      <c r="J24" s="170">
        <f>J23*$C54/1024</f>
        <v>9112891.552734375</v>
      </c>
      <c r="K24" s="170">
        <f t="shared" ref="K24:AG24" si="44">K23*$C54/1024</f>
        <v>9112891.552734375</v>
      </c>
      <c r="L24" s="170">
        <f t="shared" si="44"/>
        <v>9112891.552734375</v>
      </c>
      <c r="M24" s="170">
        <f t="shared" si="44"/>
        <v>9112891.552734375</v>
      </c>
      <c r="N24" s="170">
        <f t="shared" si="44"/>
        <v>9112891.552734375</v>
      </c>
      <c r="O24" s="170">
        <f t="shared" si="44"/>
        <v>9112891.552734375</v>
      </c>
      <c r="P24" s="170">
        <f t="shared" si="44"/>
        <v>9112891.552734375</v>
      </c>
      <c r="Q24" s="170">
        <f t="shared" si="44"/>
        <v>9112891.552734375</v>
      </c>
      <c r="R24" s="170">
        <f t="shared" si="44"/>
        <v>9112891.552734375</v>
      </c>
      <c r="S24" s="170">
        <f t="shared" si="44"/>
        <v>9112891.552734375</v>
      </c>
      <c r="T24" s="170">
        <f t="shared" si="44"/>
        <v>9112891.552734375</v>
      </c>
      <c r="U24" s="170">
        <f t="shared" si="44"/>
        <v>9112891.552734375</v>
      </c>
      <c r="V24" s="170">
        <f t="shared" si="44"/>
        <v>9112891.552734375</v>
      </c>
      <c r="W24" s="170">
        <f t="shared" si="44"/>
        <v>9112891.552734375</v>
      </c>
      <c r="X24" s="170">
        <f t="shared" si="44"/>
        <v>9112891.552734375</v>
      </c>
      <c r="Y24" s="170">
        <f t="shared" si="44"/>
        <v>9112891.552734375</v>
      </c>
      <c r="Z24" s="170">
        <f t="shared" si="44"/>
        <v>9112891.552734375</v>
      </c>
      <c r="AA24" s="170">
        <f t="shared" si="44"/>
        <v>9112891.552734375</v>
      </c>
      <c r="AB24" s="170">
        <f t="shared" si="44"/>
        <v>9112891.552734375</v>
      </c>
      <c r="AC24" s="170">
        <f t="shared" si="44"/>
        <v>9112891.552734375</v>
      </c>
      <c r="AD24" s="170">
        <f t="shared" si="44"/>
        <v>9112891.552734375</v>
      </c>
      <c r="AE24" s="170">
        <f t="shared" si="44"/>
        <v>9112891.552734375</v>
      </c>
      <c r="AF24" s="170">
        <f t="shared" si="44"/>
        <v>9112891.552734375</v>
      </c>
      <c r="AG24" s="170">
        <f t="shared" si="44"/>
        <v>9112891.552734375</v>
      </c>
      <c r="AH24" s="170"/>
      <c r="AI24" s="170"/>
      <c r="AJ24" s="170"/>
      <c r="AK24" s="170"/>
      <c r="AL24" s="170"/>
      <c r="AM24" s="170"/>
    </row>
    <row r="25" spans="2:39" s="197" customFormat="1" ht="12">
      <c r="B25" s="196" t="s">
        <v>321</v>
      </c>
      <c r="C25" s="237"/>
      <c r="D25" s="203">
        <f>D7*1024*1024</f>
        <v>36700160</v>
      </c>
      <c r="E25" s="203">
        <f>(E7-D7)*1024*1024</f>
        <v>36700160</v>
      </c>
      <c r="F25" s="203">
        <f t="shared" ref="F25:I25" si="45">(F7-E7)*1024*1024</f>
        <v>36700160</v>
      </c>
      <c r="G25" s="203">
        <f t="shared" si="45"/>
        <v>36700160</v>
      </c>
      <c r="H25" s="203">
        <f t="shared" si="45"/>
        <v>36700160</v>
      </c>
      <c r="I25" s="203">
        <f t="shared" si="45"/>
        <v>36700160</v>
      </c>
      <c r="J25" s="198">
        <f t="shared" ref="J25:AG25" si="46">J13/$J$6*$J$7*$C$61</f>
        <v>6630801.4079999998</v>
      </c>
      <c r="K25" s="198">
        <f t="shared" si="46"/>
        <v>6630801.4079999998</v>
      </c>
      <c r="L25" s="198">
        <f t="shared" si="46"/>
        <v>6630801.4079999998</v>
      </c>
      <c r="M25" s="198">
        <f t="shared" si="46"/>
        <v>6630801.4079999998</v>
      </c>
      <c r="N25" s="198">
        <f t="shared" si="46"/>
        <v>6630801.4079999998</v>
      </c>
      <c r="O25" s="198">
        <f t="shared" si="46"/>
        <v>6630801.4079999998</v>
      </c>
      <c r="P25" s="198">
        <f t="shared" si="46"/>
        <v>6630801.4079999998</v>
      </c>
      <c r="Q25" s="198">
        <f t="shared" si="46"/>
        <v>6630801.4079999998</v>
      </c>
      <c r="R25" s="198">
        <f t="shared" si="46"/>
        <v>6630801.4079999998</v>
      </c>
      <c r="S25" s="198">
        <f t="shared" si="46"/>
        <v>6630801.4079999998</v>
      </c>
      <c r="T25" s="198">
        <f t="shared" si="46"/>
        <v>6630801.4079999998</v>
      </c>
      <c r="U25" s="198">
        <f t="shared" si="46"/>
        <v>6630801.4079999998</v>
      </c>
      <c r="V25" s="198">
        <f t="shared" si="46"/>
        <v>6630801.4079999998</v>
      </c>
      <c r="W25" s="198">
        <f t="shared" si="46"/>
        <v>6630801.4079999998</v>
      </c>
      <c r="X25" s="198">
        <f t="shared" si="46"/>
        <v>6630801.4079999998</v>
      </c>
      <c r="Y25" s="198">
        <f t="shared" si="46"/>
        <v>6630801.4079999998</v>
      </c>
      <c r="Z25" s="198">
        <f t="shared" si="46"/>
        <v>6630801.4079999998</v>
      </c>
      <c r="AA25" s="198">
        <f t="shared" si="46"/>
        <v>6630801.4079999998</v>
      </c>
      <c r="AB25" s="198">
        <f t="shared" si="46"/>
        <v>6630801.4079999998</v>
      </c>
      <c r="AC25" s="198">
        <f t="shared" si="46"/>
        <v>6630801.4079999998</v>
      </c>
      <c r="AD25" s="198">
        <f t="shared" si="46"/>
        <v>6630801.4079999998</v>
      </c>
      <c r="AE25" s="198">
        <f t="shared" si="46"/>
        <v>6630801.4079999998</v>
      </c>
      <c r="AF25" s="198">
        <f t="shared" si="46"/>
        <v>6630801.4079999998</v>
      </c>
      <c r="AG25" s="198">
        <f t="shared" si="46"/>
        <v>6630801.4079999998</v>
      </c>
      <c r="AH25" s="198"/>
      <c r="AI25" s="198"/>
      <c r="AJ25" s="198"/>
      <c r="AK25" s="198"/>
      <c r="AL25" s="198"/>
      <c r="AM25" s="198"/>
    </row>
    <row r="26" spans="2:39" s="167" customFormat="1">
      <c r="B26" s="169" t="s">
        <v>306</v>
      </c>
      <c r="C26" s="235">
        <v>1.7790254237288139E-2</v>
      </c>
      <c r="D26" s="203">
        <f>D25/$C$60*$C$61</f>
        <v>1101004.8</v>
      </c>
      <c r="E26" s="203">
        <f t="shared" ref="E26:I26" si="47">E25/$C$60*$C$61</f>
        <v>1101004.8</v>
      </c>
      <c r="F26" s="203">
        <f t="shared" si="47"/>
        <v>1101004.8</v>
      </c>
      <c r="G26" s="203">
        <f t="shared" si="47"/>
        <v>1101004.8</v>
      </c>
      <c r="H26" s="203">
        <f t="shared" si="47"/>
        <v>1101004.8</v>
      </c>
      <c r="I26" s="203">
        <f t="shared" si="47"/>
        <v>1101004.8</v>
      </c>
      <c r="J26" s="170">
        <f t="shared" ref="J26:AG26" si="48">J14/$J$6*$J$7*$C$61</f>
        <v>663080.14079999994</v>
      </c>
      <c r="K26" s="170">
        <f t="shared" si="48"/>
        <v>663080.14079999994</v>
      </c>
      <c r="L26" s="170">
        <f t="shared" si="48"/>
        <v>663080.14079999994</v>
      </c>
      <c r="M26" s="170">
        <f t="shared" si="48"/>
        <v>663080.14079999994</v>
      </c>
      <c r="N26" s="170">
        <f t="shared" si="48"/>
        <v>663080.14079999994</v>
      </c>
      <c r="O26" s="170">
        <f t="shared" si="48"/>
        <v>663080.14079999994</v>
      </c>
      <c r="P26" s="170">
        <f t="shared" si="48"/>
        <v>663080.14079999994</v>
      </c>
      <c r="Q26" s="170">
        <f t="shared" si="48"/>
        <v>663080.14079999994</v>
      </c>
      <c r="R26" s="170">
        <f t="shared" si="48"/>
        <v>663080.14079999994</v>
      </c>
      <c r="S26" s="170">
        <f t="shared" si="48"/>
        <v>663080.14079999994</v>
      </c>
      <c r="T26" s="170">
        <f t="shared" si="48"/>
        <v>663080.14079999994</v>
      </c>
      <c r="U26" s="170">
        <f t="shared" si="48"/>
        <v>663080.14079999994</v>
      </c>
      <c r="V26" s="170">
        <f t="shared" si="48"/>
        <v>663080.14079999994</v>
      </c>
      <c r="W26" s="170">
        <f t="shared" si="48"/>
        <v>663080.14079999994</v>
      </c>
      <c r="X26" s="170">
        <f t="shared" si="48"/>
        <v>663080.14079999994</v>
      </c>
      <c r="Y26" s="170">
        <f t="shared" si="48"/>
        <v>663080.14079999994</v>
      </c>
      <c r="Z26" s="170">
        <f t="shared" si="48"/>
        <v>663080.14079999994</v>
      </c>
      <c r="AA26" s="170">
        <f t="shared" si="48"/>
        <v>663080.14079999994</v>
      </c>
      <c r="AB26" s="170">
        <f t="shared" si="48"/>
        <v>663080.14079999994</v>
      </c>
      <c r="AC26" s="170">
        <f t="shared" si="48"/>
        <v>663080.14079999994</v>
      </c>
      <c r="AD26" s="170">
        <f t="shared" si="48"/>
        <v>663080.14079999994</v>
      </c>
      <c r="AE26" s="170">
        <f t="shared" si="48"/>
        <v>663080.14079999994</v>
      </c>
      <c r="AF26" s="170">
        <f t="shared" si="48"/>
        <v>663080.14079999994</v>
      </c>
      <c r="AG26" s="170">
        <f t="shared" si="48"/>
        <v>663080.14079999994</v>
      </c>
      <c r="AH26" s="170"/>
      <c r="AI26" s="170"/>
      <c r="AJ26" s="170"/>
      <c r="AK26" s="170"/>
      <c r="AL26" s="170"/>
      <c r="AM26" s="170"/>
    </row>
    <row r="27" spans="2:39" s="167" customFormat="1" ht="12">
      <c r="B27" s="208" t="s">
        <v>331</v>
      </c>
      <c r="C27" s="238"/>
      <c r="D27" s="209">
        <f t="shared" ref="D27:I27" si="49">D22/D$7/1024/1024</f>
        <v>409.6</v>
      </c>
      <c r="E27" s="209">
        <f t="shared" si="49"/>
        <v>204.8</v>
      </c>
      <c r="F27" s="209">
        <f t="shared" si="49"/>
        <v>136.53333333333333</v>
      </c>
      <c r="G27" s="209">
        <f t="shared" si="49"/>
        <v>102.4</v>
      </c>
      <c r="H27" s="209">
        <f t="shared" si="49"/>
        <v>81.92</v>
      </c>
      <c r="I27" s="209">
        <f t="shared" si="49"/>
        <v>68.266666666666666</v>
      </c>
      <c r="J27" s="209">
        <f>J22/J$7/1024/1024</f>
        <v>14.125885963439941</v>
      </c>
      <c r="K27" s="170"/>
      <c r="L27" s="170"/>
      <c r="M27" s="170"/>
      <c r="N27" s="170"/>
      <c r="O27" s="170"/>
      <c r="P27" s="170"/>
      <c r="Q27" s="170"/>
      <c r="R27" s="170"/>
      <c r="S27" s="170"/>
      <c r="T27" s="170"/>
      <c r="U27" s="170"/>
      <c r="V27" s="170"/>
      <c r="W27" s="170"/>
      <c r="X27" s="170"/>
      <c r="Y27" s="170"/>
      <c r="Z27" s="170"/>
      <c r="AA27" s="170"/>
      <c r="AB27" s="170"/>
      <c r="AC27" s="170"/>
      <c r="AD27" s="170"/>
      <c r="AE27" s="170"/>
      <c r="AF27" s="170"/>
      <c r="AG27" s="170"/>
      <c r="AH27" s="170"/>
      <c r="AI27" s="170"/>
      <c r="AJ27" s="170"/>
      <c r="AK27" s="170"/>
      <c r="AL27" s="170"/>
      <c r="AM27" s="170"/>
    </row>
    <row r="28" spans="2:39" s="167" customFormat="1" ht="12">
      <c r="B28" s="208" t="s">
        <v>332</v>
      </c>
      <c r="C28" s="238"/>
      <c r="D28" s="209">
        <f t="shared" ref="D28:I28" si="50">D23/D$7/1024/1024</f>
        <v>12.288000000000002</v>
      </c>
      <c r="E28" s="209">
        <f t="shared" si="50"/>
        <v>6.144000000000001</v>
      </c>
      <c r="F28" s="209">
        <f t="shared" si="50"/>
        <v>4.0960000000000001</v>
      </c>
      <c r="G28" s="209">
        <f t="shared" si="50"/>
        <v>3.0720000000000005</v>
      </c>
      <c r="H28" s="209">
        <f t="shared" si="50"/>
        <v>2.4576000000000002</v>
      </c>
      <c r="I28" s="209">
        <f t="shared" si="50"/>
        <v>2.048</v>
      </c>
      <c r="J28" s="209">
        <f>J23/J$7/1024/1024</f>
        <v>16.95106315612793</v>
      </c>
      <c r="K28" s="170"/>
      <c r="L28" s="170"/>
      <c r="M28" s="170"/>
      <c r="N28" s="170"/>
      <c r="O28" s="170"/>
      <c r="P28" s="170"/>
      <c r="Q28" s="170"/>
      <c r="R28" s="170"/>
      <c r="S28" s="170"/>
      <c r="T28" s="170"/>
      <c r="U28" s="170"/>
      <c r="V28" s="170"/>
      <c r="W28" s="170"/>
      <c r="X28" s="170"/>
      <c r="Y28" s="170"/>
      <c r="Z28" s="170"/>
      <c r="AA28" s="170"/>
      <c r="AB28" s="170"/>
      <c r="AC28" s="170"/>
      <c r="AD28" s="170"/>
      <c r="AE28" s="170"/>
      <c r="AF28" s="170"/>
      <c r="AG28" s="170"/>
      <c r="AH28" s="170"/>
      <c r="AI28" s="170"/>
      <c r="AJ28" s="170"/>
      <c r="AK28" s="170"/>
      <c r="AL28" s="170"/>
      <c r="AM28" s="170"/>
    </row>
    <row r="29" spans="2:39" s="167" customFormat="1" ht="12">
      <c r="B29" s="208" t="s">
        <v>333</v>
      </c>
      <c r="C29" s="238"/>
      <c r="D29" s="210">
        <f t="shared" ref="D29:I29" si="51">D26/D7/1024/1024</f>
        <v>3.0000000000000002E-2</v>
      </c>
      <c r="E29" s="210">
        <f t="shared" si="51"/>
        <v>1.5000000000000001E-2</v>
      </c>
      <c r="F29" s="210">
        <f t="shared" si="51"/>
        <v>0.01</v>
      </c>
      <c r="G29" s="210">
        <f t="shared" si="51"/>
        <v>7.5000000000000006E-3</v>
      </c>
      <c r="H29" s="210">
        <f t="shared" si="51"/>
        <v>6.0000000000000001E-3</v>
      </c>
      <c r="I29" s="210">
        <f t="shared" si="51"/>
        <v>5.0000000000000001E-3</v>
      </c>
      <c r="J29" s="210">
        <f>J26/J7/1024/1024</f>
        <v>3.0112499999999996E-3</v>
      </c>
      <c r="K29" s="170"/>
      <c r="L29" s="170"/>
      <c r="M29" s="170"/>
      <c r="N29" s="170"/>
      <c r="O29" s="170"/>
      <c r="P29" s="170"/>
      <c r="Q29" s="170"/>
      <c r="R29" s="170"/>
      <c r="S29" s="170"/>
      <c r="T29" s="170"/>
      <c r="U29" s="170"/>
      <c r="V29" s="170"/>
      <c r="W29" s="170"/>
      <c r="X29" s="170"/>
      <c r="Y29" s="170"/>
      <c r="Z29" s="170"/>
      <c r="AA29" s="170"/>
      <c r="AB29" s="170"/>
      <c r="AC29" s="170"/>
      <c r="AD29" s="170"/>
      <c r="AE29" s="170"/>
      <c r="AF29" s="170"/>
      <c r="AG29" s="170"/>
      <c r="AH29" s="170"/>
      <c r="AI29" s="170"/>
      <c r="AJ29" s="170"/>
      <c r="AK29" s="170"/>
      <c r="AL29" s="170"/>
      <c r="AM29" s="170"/>
    </row>
    <row r="30" spans="2:39" s="167" customFormat="1" ht="12">
      <c r="B30" s="229" t="s">
        <v>359</v>
      </c>
      <c r="C30" s="229"/>
      <c r="D30" s="230">
        <f>D7*C7*1024*1024+D22*C22/1000+D23*C23/10000+D24*C24+D26*C26</f>
        <v>105510.68558533856</v>
      </c>
      <c r="E30" s="230">
        <f>E7*C7*1024*1024+E22*C22/1000+E23*C23/10000+E24*C24+E26*C26</f>
        <v>175607.99118533856</v>
      </c>
      <c r="F30" s="230">
        <f>F7*C7*1024*1024+F22*C22/1000+F23*C23/10000+F24*C24+F26*C26</f>
        <v>245705.29678533855</v>
      </c>
      <c r="G30" s="230">
        <f>G7*C7*1024*1024+G22*C22/1000+G23*C23/10000+G24*C24+G26*C26</f>
        <v>315802.60238533845</v>
      </c>
      <c r="H30" s="230">
        <f>H7*C7*1024*1024+H22*C22/1000+H23*C23/10000+H24*C24+H26*C26</f>
        <v>385899.90798533848</v>
      </c>
      <c r="I30" s="230">
        <f>I7*C7*1024*1024+I22*C22/1000+I23*C23/10000+I24*C24+I26*C26</f>
        <v>455997.21358533844</v>
      </c>
      <c r="J30" s="230">
        <f>J7*C7*1024*1024+J22*C22/1000+J23*C23/10000+J24*C24+J26*C26</f>
        <v>455405.43720777094</v>
      </c>
      <c r="K30" s="230">
        <f>K7*C7*1024*1024+K22*C22/1000+K23*C23/10000+K24*C24+K26*C26</f>
        <v>455405.43720777094</v>
      </c>
      <c r="L30" s="170"/>
      <c r="M30" s="170"/>
      <c r="N30" s="170"/>
      <c r="O30" s="170"/>
      <c r="P30" s="170"/>
      <c r="Q30" s="170"/>
      <c r="R30" s="170"/>
      <c r="S30" s="170"/>
      <c r="T30" s="170"/>
      <c r="U30" s="170"/>
      <c r="V30" s="170"/>
      <c r="W30" s="170"/>
      <c r="X30" s="170"/>
      <c r="Y30" s="170"/>
      <c r="Z30" s="170"/>
      <c r="AA30" s="170"/>
      <c r="AB30" s="170"/>
      <c r="AC30" s="170"/>
      <c r="AD30" s="170"/>
      <c r="AE30" s="170"/>
      <c r="AF30" s="170"/>
      <c r="AG30" s="170"/>
      <c r="AH30" s="170"/>
      <c r="AI30" s="170"/>
      <c r="AJ30" s="170"/>
      <c r="AK30" s="170"/>
      <c r="AL30" s="170"/>
      <c r="AM30" s="170"/>
    </row>
    <row r="31" spans="2:39" s="167" customFormat="1" ht="12">
      <c r="B31" s="229" t="s">
        <v>358</v>
      </c>
      <c r="C31" s="229"/>
      <c r="D31" s="230">
        <f>D26*C26</f>
        <v>19587.155308474579</v>
      </c>
      <c r="E31" s="230">
        <f>E26*C26</f>
        <v>19587.155308474579</v>
      </c>
      <c r="F31" s="230">
        <f>F26*C26</f>
        <v>19587.155308474579</v>
      </c>
      <c r="G31" s="230">
        <f>G26*C26</f>
        <v>19587.155308474579</v>
      </c>
      <c r="H31" s="230">
        <f>H26*C26</f>
        <v>19587.155308474579</v>
      </c>
      <c r="I31" s="230">
        <f>I26*C26</f>
        <v>19587.155308474579</v>
      </c>
      <c r="J31" s="230">
        <f>J26*C26</f>
        <v>11796.364284528814</v>
      </c>
      <c r="K31" s="231">
        <f>K26*C26</f>
        <v>11796.364284528814</v>
      </c>
      <c r="L31" s="170"/>
      <c r="M31" s="170"/>
      <c r="N31" s="170"/>
      <c r="O31" s="170"/>
      <c r="P31" s="170"/>
      <c r="Q31" s="170"/>
      <c r="R31" s="170"/>
      <c r="S31" s="170"/>
      <c r="T31" s="170"/>
      <c r="U31" s="170"/>
      <c r="V31" s="170"/>
      <c r="W31" s="170"/>
      <c r="X31" s="170"/>
      <c r="Y31" s="170"/>
      <c r="Z31" s="170"/>
      <c r="AA31" s="170"/>
      <c r="AB31" s="170"/>
      <c r="AC31" s="170"/>
      <c r="AD31" s="170"/>
      <c r="AE31" s="170"/>
      <c r="AF31" s="170"/>
      <c r="AG31" s="170"/>
      <c r="AH31" s="170"/>
      <c r="AI31" s="170"/>
      <c r="AJ31" s="170"/>
      <c r="AK31" s="170"/>
      <c r="AL31" s="170"/>
      <c r="AM31" s="170"/>
    </row>
    <row r="32" spans="2:39" s="167" customFormat="1" ht="12">
      <c r="B32" s="229"/>
      <c r="C32" s="229"/>
      <c r="D32" s="230"/>
      <c r="E32" s="230"/>
      <c r="F32" s="230"/>
      <c r="G32" s="230"/>
      <c r="H32" s="230"/>
      <c r="I32" s="230"/>
      <c r="J32" s="230"/>
      <c r="K32" s="231"/>
      <c r="L32" s="170"/>
      <c r="M32" s="170"/>
      <c r="N32" s="170"/>
      <c r="O32" s="170"/>
      <c r="P32" s="170"/>
      <c r="Q32" s="170"/>
      <c r="R32" s="170"/>
      <c r="S32" s="170"/>
      <c r="T32" s="170"/>
      <c r="U32" s="170"/>
      <c r="V32" s="170"/>
      <c r="W32" s="170"/>
      <c r="X32" s="170"/>
      <c r="Y32" s="170"/>
      <c r="Z32" s="170"/>
      <c r="AA32" s="170"/>
      <c r="AB32" s="170"/>
      <c r="AC32" s="170"/>
      <c r="AD32" s="170"/>
      <c r="AE32" s="170"/>
      <c r="AF32" s="170"/>
      <c r="AG32" s="170"/>
      <c r="AH32" s="170"/>
      <c r="AI32" s="170"/>
      <c r="AJ32" s="170"/>
      <c r="AK32" s="170"/>
      <c r="AL32" s="170"/>
      <c r="AM32" s="170"/>
    </row>
    <row r="33" spans="2:39" s="167" customFormat="1" ht="12">
      <c r="B33" s="229" t="s">
        <v>357</v>
      </c>
      <c r="C33" s="229"/>
      <c r="D33" s="230">
        <f>D18+D30</f>
        <v>204985.39225337925</v>
      </c>
      <c r="E33" s="230">
        <f t="shared" ref="E33:K33" si="52">E18+E30</f>
        <v>346018.86425337923</v>
      </c>
      <c r="F33" s="230">
        <f t="shared" si="52"/>
        <v>487052.33625337924</v>
      </c>
      <c r="G33" s="230">
        <f t="shared" si="52"/>
        <v>628085.80825337907</v>
      </c>
      <c r="H33" s="230">
        <f t="shared" si="52"/>
        <v>769119.28025337914</v>
      </c>
      <c r="I33" s="230">
        <f t="shared" si="52"/>
        <v>910152.75225337921</v>
      </c>
      <c r="J33" s="230">
        <f t="shared" si="52"/>
        <v>898507.03549753362</v>
      </c>
      <c r="K33" s="230">
        <f t="shared" si="52"/>
        <v>898507.03549753362</v>
      </c>
      <c r="L33" s="170"/>
      <c r="M33" s="170"/>
      <c r="N33" s="170"/>
      <c r="O33" s="170"/>
      <c r="P33" s="170"/>
      <c r="Q33" s="170"/>
      <c r="R33" s="170"/>
      <c r="S33" s="170"/>
      <c r="T33" s="170"/>
      <c r="U33" s="170"/>
      <c r="V33" s="170"/>
      <c r="W33" s="170"/>
      <c r="X33" s="170"/>
      <c r="Y33" s="170"/>
      <c r="Z33" s="170"/>
      <c r="AA33" s="170"/>
      <c r="AB33" s="170"/>
      <c r="AC33" s="170"/>
      <c r="AD33" s="170"/>
      <c r="AE33" s="170"/>
      <c r="AF33" s="170"/>
      <c r="AG33" s="170"/>
      <c r="AH33" s="170"/>
      <c r="AI33" s="170"/>
      <c r="AJ33" s="170"/>
      <c r="AK33" s="170"/>
      <c r="AL33" s="170"/>
      <c r="AM33" s="170"/>
    </row>
    <row r="34" spans="2:39" s="167" customFormat="1" ht="12">
      <c r="B34" s="229" t="s">
        <v>360</v>
      </c>
      <c r="C34" s="229"/>
      <c r="D34" s="230">
        <f>D19+D31</f>
        <v>48125.695576515267</v>
      </c>
      <c r="E34" s="230">
        <f t="shared" ref="E34:K34" si="53">E19+E31</f>
        <v>48125.695576515267</v>
      </c>
      <c r="F34" s="230">
        <f t="shared" si="53"/>
        <v>48125.695576515267</v>
      </c>
      <c r="G34" s="230">
        <f t="shared" si="53"/>
        <v>48125.695576515267</v>
      </c>
      <c r="H34" s="230">
        <f t="shared" si="53"/>
        <v>48125.695576515267</v>
      </c>
      <c r="I34" s="230">
        <f t="shared" si="53"/>
        <v>48125.695576515267</v>
      </c>
      <c r="J34" s="230">
        <f t="shared" si="53"/>
        <v>29280.964174291526</v>
      </c>
      <c r="K34" s="230">
        <f t="shared" si="53"/>
        <v>29280.964174291526</v>
      </c>
      <c r="L34" s="170"/>
      <c r="M34" s="170"/>
      <c r="N34" s="170"/>
      <c r="O34" s="170"/>
      <c r="P34" s="170"/>
      <c r="Q34" s="170"/>
      <c r="R34" s="170"/>
      <c r="S34" s="170"/>
      <c r="T34" s="170"/>
      <c r="U34" s="170"/>
      <c r="V34" s="170"/>
      <c r="W34" s="170"/>
      <c r="X34" s="170"/>
      <c r="Y34" s="170"/>
      <c r="Z34" s="170"/>
      <c r="AA34" s="170"/>
      <c r="AB34" s="170"/>
      <c r="AC34" s="170"/>
      <c r="AD34" s="170"/>
      <c r="AE34" s="170"/>
      <c r="AF34" s="170"/>
      <c r="AG34" s="170"/>
      <c r="AH34" s="170"/>
      <c r="AI34" s="170"/>
      <c r="AJ34" s="170"/>
      <c r="AK34" s="170"/>
      <c r="AL34" s="170"/>
      <c r="AM34" s="170"/>
    </row>
    <row r="35" spans="2:39" s="167" customFormat="1" ht="12">
      <c r="B35" s="229" t="s">
        <v>361</v>
      </c>
      <c r="C35" s="229"/>
      <c r="D35" s="230">
        <f>D33-D34</f>
        <v>156859.696676864</v>
      </c>
      <c r="E35" s="230">
        <f t="shared" ref="E35:K35" si="54">E33-E34</f>
        <v>297893.16867686395</v>
      </c>
      <c r="F35" s="230">
        <f t="shared" si="54"/>
        <v>438926.64067686396</v>
      </c>
      <c r="G35" s="230">
        <f t="shared" si="54"/>
        <v>579960.11267686379</v>
      </c>
      <c r="H35" s="230">
        <f t="shared" si="54"/>
        <v>720993.58467686386</v>
      </c>
      <c r="I35" s="230">
        <f t="shared" si="54"/>
        <v>862027.05667686393</v>
      </c>
      <c r="J35" s="230">
        <f t="shared" si="54"/>
        <v>869226.07132324204</v>
      </c>
      <c r="K35" s="230">
        <f t="shared" si="54"/>
        <v>869226.07132324204</v>
      </c>
      <c r="L35" s="170"/>
      <c r="M35" s="170"/>
      <c r="N35" s="170"/>
      <c r="O35" s="170"/>
      <c r="P35" s="170"/>
      <c r="Q35" s="170"/>
      <c r="R35" s="170"/>
      <c r="S35" s="170"/>
      <c r="T35" s="170"/>
      <c r="U35" s="170"/>
      <c r="V35" s="170"/>
      <c r="W35" s="170"/>
      <c r="X35" s="170"/>
      <c r="Y35" s="170"/>
      <c r="Z35" s="170"/>
      <c r="AA35" s="170"/>
      <c r="AB35" s="170"/>
      <c r="AC35" s="170"/>
      <c r="AD35" s="170"/>
      <c r="AE35" s="170"/>
      <c r="AF35" s="170"/>
      <c r="AG35" s="170"/>
      <c r="AH35" s="170"/>
      <c r="AI35" s="170"/>
      <c r="AJ35" s="170"/>
      <c r="AK35" s="170"/>
      <c r="AL35" s="170"/>
      <c r="AM35" s="170"/>
    </row>
    <row r="36" spans="2:39" s="167" customFormat="1" ht="12">
      <c r="B36" s="229" t="s">
        <v>362</v>
      </c>
      <c r="C36" s="229"/>
      <c r="D36" s="232">
        <f t="shared" ref="D36:K36" si="55">D33/D8/1024/1024</f>
        <v>3.9097860766101698E-3</v>
      </c>
      <c r="E36" s="232">
        <f t="shared" si="55"/>
        <v>3.2998930383050847E-3</v>
      </c>
      <c r="F36" s="232">
        <f t="shared" si="55"/>
        <v>3.0965953588700562E-3</v>
      </c>
      <c r="G36" s="232">
        <f t="shared" si="55"/>
        <v>2.9949465191525413E-3</v>
      </c>
      <c r="H36" s="232">
        <f t="shared" si="55"/>
        <v>2.9339572153220333E-3</v>
      </c>
      <c r="I36" s="232">
        <f t="shared" si="55"/>
        <v>2.8932976794350282E-3</v>
      </c>
      <c r="J36" s="232">
        <f t="shared" si="55"/>
        <v>2.8562769428810554E-3</v>
      </c>
      <c r="K36" s="232">
        <f t="shared" si="55"/>
        <v>2.8562769428810554E-3</v>
      </c>
      <c r="L36" s="170"/>
      <c r="M36" s="170"/>
      <c r="N36" s="170"/>
      <c r="O36" s="170"/>
      <c r="P36" s="170"/>
      <c r="Q36" s="170"/>
      <c r="R36" s="170"/>
      <c r="S36" s="170"/>
      <c r="T36" s="170"/>
      <c r="U36" s="170"/>
      <c r="V36" s="170"/>
      <c r="W36" s="170"/>
      <c r="X36" s="170"/>
      <c r="Y36" s="170"/>
      <c r="Z36" s="170"/>
      <c r="AA36" s="170"/>
      <c r="AB36" s="170"/>
      <c r="AC36" s="170"/>
      <c r="AD36" s="170"/>
      <c r="AE36" s="170"/>
      <c r="AF36" s="170"/>
      <c r="AG36" s="170"/>
      <c r="AH36" s="170"/>
      <c r="AI36" s="170"/>
      <c r="AJ36" s="170"/>
      <c r="AK36" s="170"/>
      <c r="AL36" s="170"/>
      <c r="AM36" s="170"/>
    </row>
    <row r="37" spans="2:39" s="167" customFormat="1" ht="12">
      <c r="B37" s="229" t="s">
        <v>363</v>
      </c>
      <c r="C37" s="229"/>
      <c r="D37" s="233">
        <f>D36*7.08*100</f>
        <v>2.7681285422400004</v>
      </c>
      <c r="E37" s="233">
        <f t="shared" ref="E37:K37" si="56">E36*7.08*100</f>
        <v>2.3363242711200001</v>
      </c>
      <c r="F37" s="233">
        <f t="shared" si="56"/>
        <v>2.1923895140799998</v>
      </c>
      <c r="G37" s="233">
        <f t="shared" si="56"/>
        <v>2.1204221355599993</v>
      </c>
      <c r="H37" s="233">
        <f t="shared" si="56"/>
        <v>2.0772417084479997</v>
      </c>
      <c r="I37" s="233">
        <f t="shared" si="56"/>
        <v>2.04845475704</v>
      </c>
      <c r="J37" s="233">
        <f t="shared" si="56"/>
        <v>2.0222440755597875</v>
      </c>
      <c r="K37" s="233">
        <f t="shared" si="56"/>
        <v>2.0222440755597875</v>
      </c>
      <c r="L37" s="170"/>
      <c r="M37" s="170"/>
      <c r="N37" s="170"/>
      <c r="O37" s="170"/>
      <c r="P37" s="170"/>
      <c r="Q37" s="170"/>
      <c r="R37" s="170"/>
      <c r="S37" s="170"/>
      <c r="T37" s="170"/>
      <c r="U37" s="170"/>
      <c r="V37" s="170"/>
      <c r="W37" s="170"/>
      <c r="X37" s="170"/>
      <c r="Y37" s="170"/>
      <c r="Z37" s="170"/>
      <c r="AA37" s="170"/>
      <c r="AB37" s="170"/>
      <c r="AC37" s="170"/>
      <c r="AD37" s="170"/>
      <c r="AE37" s="170"/>
      <c r="AF37" s="170"/>
      <c r="AG37" s="170"/>
      <c r="AH37" s="170"/>
      <c r="AI37" s="170"/>
      <c r="AJ37" s="170"/>
      <c r="AK37" s="170"/>
      <c r="AL37" s="170"/>
      <c r="AM37" s="170"/>
    </row>
    <row r="38" spans="2:39" s="167" customFormat="1" ht="12">
      <c r="B38" s="229" t="s">
        <v>366</v>
      </c>
      <c r="C38" s="229"/>
      <c r="D38" s="232">
        <f>D35/D8/1024/1024</f>
        <v>2.9918612799999999E-3</v>
      </c>
      <c r="E38" s="232">
        <f t="shared" ref="E38:J38" si="57">E35/E8/1024/1024</f>
        <v>2.8409306399999994E-3</v>
      </c>
      <c r="F38" s="232">
        <f t="shared" si="57"/>
        <v>2.7906204266666666E-3</v>
      </c>
      <c r="G38" s="232">
        <f t="shared" si="57"/>
        <v>2.7654653199999991E-3</v>
      </c>
      <c r="H38" s="232">
        <f t="shared" si="57"/>
        <v>2.7503722559999995E-3</v>
      </c>
      <c r="I38" s="232">
        <f t="shared" si="57"/>
        <v>2.7403102133333329E-3</v>
      </c>
      <c r="J38" s="232">
        <f t="shared" si="57"/>
        <v>2.7631952645722773E-3</v>
      </c>
      <c r="K38" s="232">
        <f>K35/K8/1024/1024</f>
        <v>2.7631952645722773E-3</v>
      </c>
      <c r="L38" s="170"/>
      <c r="M38" s="170"/>
      <c r="N38" s="170"/>
      <c r="O38" s="170"/>
      <c r="P38" s="170"/>
      <c r="Q38" s="170"/>
      <c r="R38" s="170"/>
      <c r="S38" s="170"/>
      <c r="T38" s="170"/>
      <c r="U38" s="170"/>
      <c r="V38" s="170"/>
      <c r="W38" s="170"/>
      <c r="X38" s="170"/>
      <c r="Y38" s="170"/>
      <c r="Z38" s="170"/>
      <c r="AA38" s="170"/>
      <c r="AB38" s="170"/>
      <c r="AC38" s="170"/>
      <c r="AD38" s="170"/>
      <c r="AE38" s="170"/>
      <c r="AF38" s="170"/>
      <c r="AG38" s="170"/>
      <c r="AH38" s="170"/>
      <c r="AI38" s="170"/>
      <c r="AJ38" s="170"/>
      <c r="AK38" s="170"/>
      <c r="AL38" s="170"/>
      <c r="AM38" s="170"/>
    </row>
    <row r="39" spans="2:39" s="167" customFormat="1" ht="12">
      <c r="B39" s="229" t="s">
        <v>364</v>
      </c>
      <c r="C39" s="229"/>
      <c r="D39" s="233">
        <f>D38*7.08*100</f>
        <v>2.1182377862399999</v>
      </c>
      <c r="E39" s="233">
        <f t="shared" ref="E39:K39" si="58">E38*7.08*100</f>
        <v>2.0113788931199994</v>
      </c>
      <c r="F39" s="233">
        <f t="shared" si="58"/>
        <v>1.97575926208</v>
      </c>
      <c r="G39" s="233">
        <f t="shared" si="58"/>
        <v>1.9579494465599996</v>
      </c>
      <c r="H39" s="233">
        <f t="shared" si="58"/>
        <v>1.9472635572479997</v>
      </c>
      <c r="I39" s="233">
        <f t="shared" si="58"/>
        <v>1.9401396310399999</v>
      </c>
      <c r="J39" s="233">
        <f t="shared" si="58"/>
        <v>1.9563422473171725</v>
      </c>
      <c r="K39" s="233">
        <f t="shared" si="58"/>
        <v>1.9563422473171725</v>
      </c>
      <c r="L39" s="170"/>
      <c r="M39" s="170"/>
      <c r="N39" s="170"/>
      <c r="O39" s="170"/>
      <c r="P39" s="170"/>
      <c r="Q39" s="170"/>
      <c r="R39" s="170"/>
      <c r="S39" s="170"/>
      <c r="T39" s="170"/>
      <c r="U39" s="170"/>
      <c r="V39" s="170"/>
      <c r="W39" s="170"/>
      <c r="X39" s="170"/>
      <c r="Y39" s="170"/>
      <c r="Z39" s="170"/>
      <c r="AA39" s="170"/>
      <c r="AB39" s="170"/>
      <c r="AC39" s="170"/>
      <c r="AD39" s="170"/>
      <c r="AE39" s="170"/>
      <c r="AF39" s="170"/>
      <c r="AG39" s="170"/>
      <c r="AH39" s="170"/>
      <c r="AI39" s="170"/>
      <c r="AJ39" s="170"/>
      <c r="AK39" s="170"/>
      <c r="AL39" s="170"/>
      <c r="AM39" s="170"/>
    </row>
    <row r="40" spans="2:39" s="167" customFormat="1" ht="12">
      <c r="B40" s="229"/>
      <c r="C40" s="229"/>
      <c r="D40" s="233"/>
      <c r="E40" s="233"/>
      <c r="F40" s="233"/>
      <c r="G40" s="233"/>
      <c r="H40" s="233"/>
      <c r="I40" s="233"/>
      <c r="J40" s="233"/>
      <c r="K40" s="233"/>
      <c r="L40" s="170"/>
      <c r="M40" s="170"/>
      <c r="N40" s="170"/>
      <c r="O40" s="170"/>
      <c r="P40" s="170"/>
      <c r="Q40" s="170"/>
      <c r="R40" s="170"/>
      <c r="S40" s="170"/>
      <c r="T40" s="170"/>
      <c r="U40" s="170"/>
      <c r="V40" s="170"/>
      <c r="W40" s="170"/>
      <c r="X40" s="170"/>
      <c r="Y40" s="170"/>
      <c r="Z40" s="170"/>
      <c r="AA40" s="170"/>
      <c r="AB40" s="170"/>
      <c r="AC40" s="170"/>
      <c r="AD40" s="170"/>
      <c r="AE40" s="170"/>
      <c r="AF40" s="170"/>
      <c r="AG40" s="170"/>
      <c r="AH40" s="170"/>
      <c r="AI40" s="170"/>
      <c r="AJ40" s="170"/>
      <c r="AK40" s="170"/>
      <c r="AL40" s="170"/>
      <c r="AM40" s="170"/>
    </row>
    <row r="41" spans="2:39" s="167" customFormat="1" ht="12">
      <c r="B41" s="229"/>
      <c r="C41" s="229"/>
      <c r="D41" s="233"/>
      <c r="E41" s="233"/>
      <c r="F41" s="233"/>
      <c r="G41" s="233"/>
      <c r="H41" s="239" t="s">
        <v>369</v>
      </c>
      <c r="I41" s="239">
        <f>SUM(D33:I33)</f>
        <v>3345414.4335202752</v>
      </c>
      <c r="J41" s="233"/>
      <c r="K41" s="233"/>
      <c r="L41" s="170"/>
      <c r="M41" s="170"/>
      <c r="N41" s="170"/>
      <c r="O41" s="170"/>
      <c r="P41" s="170"/>
      <c r="Q41" s="170"/>
      <c r="R41" s="170"/>
      <c r="S41" s="170"/>
      <c r="T41" s="170"/>
      <c r="U41" s="170"/>
      <c r="V41" s="170"/>
      <c r="W41" s="170"/>
      <c r="X41" s="170"/>
      <c r="Y41" s="170"/>
      <c r="Z41" s="170"/>
      <c r="AA41" s="170"/>
      <c r="AB41" s="170"/>
      <c r="AC41" s="170"/>
      <c r="AD41" s="170"/>
      <c r="AE41" s="170"/>
      <c r="AF41" s="170"/>
      <c r="AG41" s="170"/>
      <c r="AH41" s="170"/>
      <c r="AI41" s="170"/>
      <c r="AJ41" s="170"/>
      <c r="AK41" s="170"/>
      <c r="AL41" s="170"/>
      <c r="AM41" s="170"/>
    </row>
    <row r="42" spans="2:39" s="167" customFormat="1" ht="12">
      <c r="B42" s="229"/>
      <c r="C42" s="229"/>
      <c r="D42" s="233"/>
      <c r="E42" s="233"/>
      <c r="F42" s="233"/>
      <c r="G42" s="233"/>
      <c r="H42" s="239" t="s">
        <v>370</v>
      </c>
      <c r="I42" s="239">
        <f>SUM(D34:I34)</f>
        <v>288754.17345909163</v>
      </c>
      <c r="J42" s="233"/>
      <c r="K42" s="233"/>
      <c r="L42" s="170"/>
      <c r="M42" s="170"/>
      <c r="N42" s="170"/>
      <c r="O42" s="170"/>
      <c r="P42" s="170"/>
      <c r="Q42" s="170"/>
      <c r="R42" s="170"/>
      <c r="S42" s="170"/>
      <c r="T42" s="170"/>
      <c r="U42" s="170"/>
      <c r="V42" s="170"/>
      <c r="W42" s="170"/>
      <c r="X42" s="170"/>
      <c r="Y42" s="170"/>
      <c r="Z42" s="170"/>
      <c r="AA42" s="170"/>
      <c r="AB42" s="170"/>
      <c r="AC42" s="170"/>
      <c r="AD42" s="170"/>
      <c r="AE42" s="170"/>
      <c r="AF42" s="170"/>
      <c r="AG42" s="170"/>
      <c r="AH42" s="170"/>
      <c r="AI42" s="170"/>
      <c r="AJ42" s="170"/>
      <c r="AK42" s="170"/>
      <c r="AL42" s="170"/>
      <c r="AM42" s="170"/>
    </row>
    <row r="43" spans="2:39" s="167" customFormat="1" ht="12">
      <c r="B43" s="229"/>
      <c r="C43" s="229"/>
      <c r="D43" s="233"/>
      <c r="E43" s="233"/>
      <c r="F43" s="233"/>
      <c r="G43" s="233"/>
      <c r="H43" s="239" t="s">
        <v>371</v>
      </c>
      <c r="I43" s="239">
        <f>J33</f>
        <v>898507.03549753362</v>
      </c>
      <c r="J43" s="233"/>
      <c r="K43" s="233"/>
      <c r="L43" s="170"/>
      <c r="M43" s="170"/>
      <c r="N43" s="170"/>
      <c r="O43" s="170"/>
      <c r="P43" s="170"/>
      <c r="Q43" s="170"/>
      <c r="R43" s="170"/>
      <c r="S43" s="170"/>
      <c r="T43" s="170"/>
      <c r="U43" s="170"/>
      <c r="V43" s="170"/>
      <c r="W43" s="170"/>
      <c r="X43" s="170"/>
      <c r="Y43" s="170"/>
      <c r="Z43" s="170"/>
      <c r="AA43" s="170"/>
      <c r="AB43" s="170"/>
      <c r="AC43" s="170"/>
      <c r="AD43" s="170"/>
      <c r="AE43" s="170"/>
      <c r="AF43" s="170"/>
      <c r="AG43" s="170"/>
      <c r="AH43" s="170"/>
      <c r="AI43" s="170"/>
      <c r="AJ43" s="170"/>
      <c r="AK43" s="170"/>
      <c r="AL43" s="170"/>
      <c r="AM43" s="170"/>
    </row>
    <row r="44" spans="2:39" s="167" customFormat="1" ht="12">
      <c r="B44" s="229"/>
      <c r="C44" s="229"/>
      <c r="D44" s="233"/>
      <c r="E44" s="233"/>
      <c r="F44" s="233"/>
      <c r="G44" s="233"/>
      <c r="H44" s="239" t="s">
        <v>372</v>
      </c>
      <c r="I44" s="239">
        <f>J34</f>
        <v>29280.964174291526</v>
      </c>
      <c r="J44" s="233"/>
      <c r="K44" s="233"/>
      <c r="L44" s="170"/>
      <c r="M44" s="170"/>
      <c r="N44" s="170"/>
      <c r="O44" s="170"/>
      <c r="P44" s="170"/>
      <c r="Q44" s="170"/>
      <c r="R44" s="170"/>
      <c r="S44" s="170"/>
      <c r="T44" s="170"/>
      <c r="U44" s="170"/>
      <c r="V44" s="170"/>
      <c r="W44" s="170"/>
      <c r="X44" s="170"/>
      <c r="Y44" s="170"/>
      <c r="Z44" s="170"/>
      <c r="AA44" s="170"/>
      <c r="AB44" s="170"/>
      <c r="AC44" s="170"/>
      <c r="AD44" s="170"/>
      <c r="AE44" s="170"/>
      <c r="AF44" s="170"/>
      <c r="AG44" s="170"/>
      <c r="AH44" s="170"/>
      <c r="AI44" s="170"/>
      <c r="AJ44" s="170"/>
      <c r="AK44" s="170"/>
      <c r="AL44" s="170"/>
      <c r="AM44" s="170"/>
    </row>
    <row r="45" spans="2:39" s="167" customFormat="1" ht="12">
      <c r="B45" s="229"/>
      <c r="C45" s="229"/>
      <c r="D45" s="233"/>
      <c r="E45" s="233"/>
      <c r="F45" s="233"/>
      <c r="G45" s="233"/>
      <c r="H45" s="239" t="s">
        <v>373</v>
      </c>
      <c r="I45" s="239">
        <f>I43*12</f>
        <v>10782084.425970403</v>
      </c>
      <c r="J45" s="233"/>
      <c r="K45" s="233"/>
      <c r="L45" s="170"/>
      <c r="M45" s="170"/>
      <c r="N45" s="170"/>
      <c r="O45" s="170"/>
      <c r="P45" s="170"/>
      <c r="Q45" s="170"/>
      <c r="R45" s="170"/>
      <c r="S45" s="170"/>
      <c r="T45" s="170"/>
      <c r="U45" s="170"/>
      <c r="V45" s="170"/>
      <c r="W45" s="170"/>
      <c r="X45" s="170"/>
      <c r="Y45" s="170"/>
      <c r="Z45" s="170"/>
      <c r="AA45" s="170"/>
      <c r="AB45" s="170"/>
      <c r="AC45" s="170"/>
      <c r="AD45" s="170"/>
      <c r="AE45" s="170"/>
      <c r="AF45" s="170"/>
      <c r="AG45" s="170"/>
      <c r="AH45" s="170"/>
      <c r="AI45" s="170"/>
      <c r="AJ45" s="170"/>
      <c r="AK45" s="170"/>
      <c r="AL45" s="170"/>
      <c r="AM45" s="170"/>
    </row>
    <row r="46" spans="2:39" s="167" customFormat="1" ht="12">
      <c r="B46" s="229"/>
      <c r="C46" s="229"/>
      <c r="D46" s="233"/>
      <c r="E46" s="233"/>
      <c r="F46" s="233"/>
      <c r="G46" s="233"/>
      <c r="H46" s="239" t="s">
        <v>374</v>
      </c>
      <c r="I46" s="239">
        <f>I44*12</f>
        <v>351371.57009149832</v>
      </c>
      <c r="J46" s="233"/>
      <c r="K46" s="233"/>
      <c r="L46" s="170"/>
      <c r="M46" s="170"/>
      <c r="N46" s="170"/>
      <c r="O46" s="170"/>
      <c r="P46" s="170"/>
      <c r="Q46" s="170"/>
      <c r="R46" s="170"/>
      <c r="S46" s="170"/>
      <c r="T46" s="170"/>
      <c r="U46" s="170"/>
      <c r="V46" s="170"/>
      <c r="W46" s="170"/>
      <c r="X46" s="170"/>
      <c r="Y46" s="170"/>
      <c r="Z46" s="170"/>
      <c r="AA46" s="170"/>
      <c r="AB46" s="170"/>
      <c r="AC46" s="170"/>
      <c r="AD46" s="170"/>
      <c r="AE46" s="170"/>
      <c r="AF46" s="170"/>
      <c r="AG46" s="170"/>
      <c r="AH46" s="170"/>
      <c r="AI46" s="170"/>
      <c r="AJ46" s="170"/>
      <c r="AK46" s="170"/>
      <c r="AL46" s="170"/>
      <c r="AM46" s="170"/>
    </row>
    <row r="47" spans="2:39" s="167" customFormat="1" ht="12">
      <c r="B47" s="208"/>
      <c r="C47" s="208"/>
      <c r="D47" s="210"/>
      <c r="E47" s="210"/>
      <c r="F47" s="210"/>
      <c r="G47" s="210"/>
      <c r="H47" s="210"/>
      <c r="I47" s="210"/>
      <c r="J47" s="210"/>
      <c r="K47" s="170"/>
      <c r="L47" s="170"/>
      <c r="M47" s="170"/>
      <c r="N47" s="170"/>
      <c r="O47" s="170"/>
      <c r="P47" s="170"/>
      <c r="Q47" s="170"/>
      <c r="R47" s="170"/>
      <c r="S47" s="170"/>
      <c r="T47" s="170"/>
      <c r="U47" s="170"/>
      <c r="V47" s="170"/>
      <c r="W47" s="170"/>
      <c r="X47" s="170"/>
      <c r="Y47" s="170"/>
      <c r="Z47" s="170"/>
      <c r="AA47" s="170"/>
      <c r="AB47" s="170"/>
      <c r="AC47" s="170"/>
      <c r="AD47" s="170"/>
      <c r="AE47" s="170"/>
      <c r="AF47" s="170"/>
      <c r="AG47" s="170"/>
      <c r="AH47" s="170"/>
      <c r="AI47" s="170"/>
      <c r="AJ47" s="170"/>
      <c r="AK47" s="170"/>
      <c r="AL47" s="170"/>
      <c r="AM47" s="170"/>
    </row>
    <row r="48" spans="2:39" s="167" customFormat="1" ht="12">
      <c r="B48" s="208" t="s">
        <v>354</v>
      </c>
      <c r="C48" s="210"/>
      <c r="D48" s="210"/>
      <c r="E48" s="210"/>
      <c r="F48" s="210"/>
      <c r="G48" s="210"/>
      <c r="H48" s="210"/>
      <c r="I48" s="209">
        <f>(J11+J22)/(J$8*1024*1024)</f>
        <v>24.0140061378479</v>
      </c>
      <c r="J48" s="170"/>
      <c r="K48" s="170"/>
      <c r="L48" s="170"/>
      <c r="M48" s="170"/>
      <c r="N48" s="170"/>
      <c r="O48" s="170"/>
      <c r="P48" s="170"/>
      <c r="Q48" s="170"/>
      <c r="R48" s="170"/>
      <c r="S48" s="170"/>
      <c r="T48" s="170"/>
      <c r="U48" s="170"/>
      <c r="V48" s="170"/>
      <c r="W48" s="170"/>
      <c r="X48" s="170"/>
      <c r="Y48" s="170"/>
      <c r="Z48" s="170"/>
      <c r="AA48" s="170"/>
      <c r="AB48" s="170"/>
      <c r="AC48" s="170"/>
      <c r="AD48" s="170"/>
      <c r="AE48" s="170"/>
      <c r="AF48" s="170"/>
      <c r="AG48" s="170"/>
      <c r="AH48" s="170"/>
      <c r="AI48" s="170"/>
      <c r="AJ48" s="170"/>
      <c r="AK48" s="170"/>
      <c r="AL48" s="170"/>
    </row>
    <row r="49" spans="2:38" s="167" customFormat="1" ht="12">
      <c r="B49" s="208" t="s">
        <v>355</v>
      </c>
      <c r="C49" s="210"/>
      <c r="D49" s="210"/>
      <c r="E49" s="210"/>
      <c r="F49" s="210"/>
      <c r="G49" s="210"/>
      <c r="H49" s="210"/>
      <c r="I49" s="209">
        <f>(J12+J23)/(J$8*1024*1024)</f>
        <v>28.816807365417482</v>
      </c>
      <c r="J49" s="170"/>
      <c r="K49" s="170"/>
      <c r="L49" s="170"/>
      <c r="M49" s="170"/>
      <c r="N49" s="170"/>
      <c r="O49" s="170"/>
      <c r="P49" s="170"/>
      <c r="Q49" s="170"/>
      <c r="R49" s="170"/>
      <c r="S49" s="170"/>
      <c r="T49" s="170"/>
      <c r="U49" s="170"/>
      <c r="V49" s="170"/>
      <c r="W49" s="170"/>
      <c r="X49" s="170"/>
      <c r="Y49" s="170"/>
      <c r="Z49" s="170"/>
      <c r="AA49" s="170"/>
      <c r="AB49" s="170"/>
      <c r="AC49" s="170"/>
      <c r="AD49" s="170"/>
      <c r="AE49" s="170"/>
      <c r="AF49" s="170"/>
      <c r="AG49" s="170"/>
      <c r="AH49" s="170"/>
      <c r="AI49" s="170"/>
      <c r="AJ49" s="170"/>
      <c r="AK49" s="170"/>
      <c r="AL49" s="170"/>
    </row>
    <row r="50" spans="2:38">
      <c r="B50" s="208" t="s">
        <v>356</v>
      </c>
      <c r="I50" s="210">
        <f>(J14+J26)/(J$8*1024*1024)</f>
        <v>5.1191249999999995E-3</v>
      </c>
    </row>
    <row r="51" spans="2:38">
      <c r="B51" s="208" t="s">
        <v>70</v>
      </c>
      <c r="I51" s="210">
        <f>((J12+J23)*C54/1024)/(J$8*1024*1024)</f>
        <v>7.0353533606976271E-2</v>
      </c>
    </row>
    <row r="52" spans="2:38">
      <c r="B52" s="163"/>
    </row>
    <row r="53" spans="2:38">
      <c r="B53" s="91" t="s">
        <v>350</v>
      </c>
    </row>
    <row r="54" spans="2:38">
      <c r="B54" s="176" t="s">
        <v>285</v>
      </c>
      <c r="C54" s="199">
        <v>2.5</v>
      </c>
      <c r="D54" s="177" t="s">
        <v>286</v>
      </c>
      <c r="E54" s="178" t="s">
        <v>346</v>
      </c>
      <c r="F54" s="179"/>
      <c r="G54" s="179"/>
      <c r="H54" s="180"/>
      <c r="I54" s="179"/>
      <c r="J54" s="181"/>
      <c r="K54" s="181"/>
      <c r="L54" s="181"/>
      <c r="M54" s="182"/>
    </row>
    <row r="55" spans="2:38" ht="28.05" customHeight="1">
      <c r="B55" s="183" t="s">
        <v>324</v>
      </c>
      <c r="C55" s="173">
        <v>11.25</v>
      </c>
      <c r="D55" s="173" t="s">
        <v>288</v>
      </c>
      <c r="E55" s="240" t="s">
        <v>347</v>
      </c>
      <c r="F55" s="240"/>
      <c r="G55" s="240"/>
      <c r="H55" s="240"/>
      <c r="I55" s="240"/>
      <c r="J55" s="240"/>
      <c r="K55" s="240"/>
      <c r="L55" s="240"/>
      <c r="M55" s="241"/>
    </row>
    <row r="56" spans="2:38" ht="26.55" customHeight="1">
      <c r="B56" s="183" t="s">
        <v>329</v>
      </c>
      <c r="C56" s="173">
        <v>13.5</v>
      </c>
      <c r="D56" s="173" t="s">
        <v>288</v>
      </c>
      <c r="E56" s="240" t="s">
        <v>323</v>
      </c>
      <c r="F56" s="240"/>
      <c r="G56" s="240"/>
      <c r="H56" s="240"/>
      <c r="I56" s="240"/>
      <c r="J56" s="240"/>
      <c r="K56" s="240"/>
      <c r="L56" s="240"/>
      <c r="M56" s="241"/>
    </row>
    <row r="57" spans="2:38">
      <c r="B57" s="183" t="s">
        <v>330</v>
      </c>
      <c r="C57" s="173">
        <v>18.5</v>
      </c>
      <c r="D57" s="173" t="s">
        <v>288</v>
      </c>
      <c r="E57" s="240" t="s">
        <v>347</v>
      </c>
      <c r="F57" s="240"/>
      <c r="G57" s="240"/>
      <c r="H57" s="240"/>
      <c r="I57" s="240"/>
      <c r="J57" s="174"/>
      <c r="K57" s="174"/>
      <c r="L57" s="174"/>
      <c r="M57" s="184"/>
    </row>
    <row r="58" spans="2:38" ht="25.05" customHeight="1">
      <c r="B58" s="183" t="s">
        <v>322</v>
      </c>
      <c r="C58" s="221">
        <v>0.16700000000000001</v>
      </c>
      <c r="D58" s="173"/>
      <c r="E58" s="240" t="s">
        <v>348</v>
      </c>
      <c r="F58" s="240"/>
      <c r="G58" s="240"/>
      <c r="H58" s="240"/>
      <c r="I58" s="240"/>
      <c r="J58" s="240"/>
      <c r="K58" s="240"/>
      <c r="L58" s="240"/>
      <c r="M58" s="241"/>
    </row>
    <row r="59" spans="2:38">
      <c r="B59" s="185" t="s">
        <v>325</v>
      </c>
      <c r="C59" s="175">
        <v>0.33</v>
      </c>
      <c r="D59" s="175" t="s">
        <v>284</v>
      </c>
      <c r="E59" s="174" t="s">
        <v>349</v>
      </c>
      <c r="F59" s="174"/>
      <c r="G59" s="174"/>
      <c r="H59" s="174"/>
      <c r="I59" s="174"/>
      <c r="J59" s="174"/>
      <c r="K59" s="174"/>
      <c r="L59" s="174"/>
      <c r="M59" s="184"/>
    </row>
    <row r="60" spans="2:38">
      <c r="B60" s="185" t="s">
        <v>326</v>
      </c>
      <c r="C60" s="175">
        <v>10</v>
      </c>
      <c r="D60" s="175"/>
      <c r="E60" s="174"/>
      <c r="F60" s="174"/>
      <c r="G60" s="174"/>
      <c r="H60" s="174"/>
      <c r="I60" s="174"/>
      <c r="J60" s="174"/>
      <c r="K60" s="174"/>
      <c r="L60" s="174"/>
      <c r="M60" s="184"/>
    </row>
    <row r="61" spans="2:38">
      <c r="B61" s="186" t="s">
        <v>327</v>
      </c>
      <c r="C61" s="187">
        <v>0.3</v>
      </c>
      <c r="D61" s="188"/>
      <c r="E61" s="189"/>
      <c r="F61" s="189"/>
      <c r="G61" s="189"/>
      <c r="H61" s="189"/>
      <c r="I61" s="189"/>
      <c r="J61" s="189"/>
      <c r="K61" s="189"/>
      <c r="L61" s="189"/>
      <c r="M61" s="190"/>
    </row>
    <row r="64" spans="2:38">
      <c r="I64" s="198"/>
    </row>
    <row r="65" spans="4:4">
      <c r="D65" s="198"/>
    </row>
    <row r="67" spans="4:4">
      <c r="D67" s="201"/>
    </row>
  </sheetData>
  <mergeCells count="4">
    <mergeCell ref="E57:I57"/>
    <mergeCell ref="E55:M55"/>
    <mergeCell ref="E56:M56"/>
    <mergeCell ref="E58:M58"/>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C6B03-EBAB-4E25-8BEC-88F14789CC07}">
  <sheetPr>
    <tabColor rgb="FF92D050"/>
  </sheetPr>
  <dimension ref="A2:C23"/>
  <sheetViews>
    <sheetView tabSelected="1" workbookViewId="0">
      <selection activeCell="B3" sqref="B3"/>
    </sheetView>
  </sheetViews>
  <sheetFormatPr defaultRowHeight="15.6"/>
  <cols>
    <col min="1" max="1" width="26.09765625" bestFit="1" customWidth="1"/>
    <col min="2" max="2" width="20.3984375" customWidth="1"/>
    <col min="3" max="3" width="17.5" bestFit="1" customWidth="1"/>
    <col min="4" max="4" width="27.59765625" customWidth="1"/>
  </cols>
  <sheetData>
    <row r="2" spans="1:3">
      <c r="A2" s="384" t="s">
        <v>369</v>
      </c>
      <c r="B2" s="384">
        <v>3345414.4335202752</v>
      </c>
    </row>
    <row r="3" spans="1:3">
      <c r="A3" s="384" t="s">
        <v>370</v>
      </c>
      <c r="B3" s="384">
        <v>288754.17345909163</v>
      </c>
    </row>
    <row r="4" spans="1:3">
      <c r="A4" s="384" t="s">
        <v>371</v>
      </c>
      <c r="B4" s="384">
        <v>898507.03549753362</v>
      </c>
    </row>
    <row r="5" spans="1:3">
      <c r="A5" s="384" t="s">
        <v>372</v>
      </c>
      <c r="B5" s="384">
        <v>29280.964174291526</v>
      </c>
    </row>
    <row r="6" spans="1:3">
      <c r="A6" s="384" t="s">
        <v>373</v>
      </c>
      <c r="B6" s="384">
        <v>10782084.425970403</v>
      </c>
    </row>
    <row r="7" spans="1:3">
      <c r="A7" s="384" t="s">
        <v>374</v>
      </c>
      <c r="B7" s="384">
        <v>351371.57009149832</v>
      </c>
    </row>
    <row r="9" spans="1:3">
      <c r="A9" s="384" t="s">
        <v>375</v>
      </c>
    </row>
    <row r="10" spans="1:3">
      <c r="A10" s="384" t="s">
        <v>376</v>
      </c>
      <c r="B10" s="384">
        <f>B2+B6*2.5</f>
        <v>30300625.498446286</v>
      </c>
    </row>
    <row r="11" spans="1:3">
      <c r="A11" s="384" t="s">
        <v>377</v>
      </c>
      <c r="B11" s="384">
        <f>B3+B7*2.5</f>
        <v>1167183.0986878374</v>
      </c>
    </row>
    <row r="12" spans="1:3">
      <c r="A12" s="384" t="s">
        <v>379</v>
      </c>
      <c r="B12" s="384">
        <f>B10-B11</f>
        <v>29133442.399758447</v>
      </c>
    </row>
    <row r="13" spans="1:3">
      <c r="A13" s="384" t="s">
        <v>378</v>
      </c>
      <c r="B13">
        <f>SUM('Data Ramp Plan'!D8:I8)+300*12*2.5</f>
        <v>10050</v>
      </c>
    </row>
    <row r="14" spans="1:3">
      <c r="A14" s="384" t="s">
        <v>380</v>
      </c>
      <c r="B14" t="s">
        <v>384</v>
      </c>
      <c r="C14" t="s">
        <v>386</v>
      </c>
    </row>
    <row r="15" spans="1:3">
      <c r="A15" s="385" t="s">
        <v>381</v>
      </c>
      <c r="B15" s="386">
        <f>B10/B13/1024/1024</f>
        <v>2.8753162496430399E-3</v>
      </c>
      <c r="C15" s="384">
        <f>B15*B23*100</f>
        <v>2.0357239047472722</v>
      </c>
    </row>
    <row r="16" spans="1:3">
      <c r="A16" s="385" t="s">
        <v>358</v>
      </c>
      <c r="B16" s="386">
        <f>B12/B13/1024/1024</f>
        <v>2.7645587826020395E-3</v>
      </c>
      <c r="C16" s="384">
        <f>B16*B23*100</f>
        <v>1.957307618082244</v>
      </c>
    </row>
    <row r="17" spans="1:3">
      <c r="A17" s="385" t="s">
        <v>388</v>
      </c>
      <c r="B17" s="386">
        <f>C17/B23/100</f>
        <v>1.9987208186760474E-3</v>
      </c>
      <c r="C17" s="384">
        <f>1.5/1.06</f>
        <v>1.4150943396226414</v>
      </c>
    </row>
    <row r="19" spans="1:3">
      <c r="A19" s="385" t="s">
        <v>382</v>
      </c>
      <c r="B19" s="384">
        <f>B17*B13*1024*1024</f>
        <v>21062897.345698752</v>
      </c>
    </row>
    <row r="20" spans="1:3">
      <c r="A20" s="385" t="s">
        <v>387</v>
      </c>
      <c r="B20" s="384">
        <f>B12-B19</f>
        <v>8070545.0540596955</v>
      </c>
    </row>
    <row r="21" spans="1:3">
      <c r="A21" s="385" t="s">
        <v>383</v>
      </c>
      <c r="B21" s="387">
        <f>B20+B11</f>
        <v>9237728.1527475324</v>
      </c>
    </row>
    <row r="23" spans="1:3">
      <c r="A23" s="385" t="s">
        <v>385</v>
      </c>
      <c r="B23">
        <v>7.08</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06162-DEEA-4C2B-82ED-4A3867A97C5A}">
  <sheetPr>
    <tabColor rgb="FF92D050"/>
  </sheetPr>
  <dimension ref="B2:L56"/>
  <sheetViews>
    <sheetView showGridLines="0" topLeftCell="H36" zoomScale="90" zoomScaleNormal="90" workbookViewId="0"/>
  </sheetViews>
  <sheetFormatPr defaultColWidth="9" defaultRowHeight="13.8"/>
  <cols>
    <col min="1" max="1" width="4.796875" style="99" customWidth="1"/>
    <col min="2" max="2" width="20.296875" style="99" customWidth="1"/>
    <col min="3" max="3" width="11.19921875" style="99" bestFit="1" customWidth="1"/>
    <col min="4" max="4" width="10.09765625" style="99" customWidth="1"/>
    <col min="5" max="5" width="16.19921875" style="133" customWidth="1"/>
    <col min="6" max="6" width="11.8984375" style="99" customWidth="1"/>
    <col min="7" max="7" width="9.796875" style="99" bestFit="1" customWidth="1"/>
    <col min="8" max="8" width="10" style="99" customWidth="1"/>
    <col min="9" max="16384" width="9" style="99"/>
  </cols>
  <sheetData>
    <row r="2" spans="2:8" ht="15.75" customHeight="1">
      <c r="B2" s="247" t="s">
        <v>300</v>
      </c>
      <c r="C2" s="250" t="s">
        <v>279</v>
      </c>
      <c r="D2" s="250"/>
      <c r="E2" s="250"/>
      <c r="F2" s="117"/>
      <c r="G2" s="117"/>
      <c r="H2" s="118"/>
    </row>
    <row r="3" spans="2:8">
      <c r="B3" s="248"/>
      <c r="C3" s="159" t="s">
        <v>280</v>
      </c>
      <c r="D3" s="159" t="s">
        <v>244</v>
      </c>
      <c r="E3" s="130">
        <v>0.3</v>
      </c>
      <c r="F3" s="116"/>
      <c r="G3" s="116"/>
      <c r="H3" s="119"/>
    </row>
    <row r="4" spans="2:8">
      <c r="B4" s="249"/>
      <c r="C4" s="158" t="s">
        <v>281</v>
      </c>
      <c r="D4" s="158" t="s">
        <v>282</v>
      </c>
      <c r="E4" s="131">
        <v>0.7</v>
      </c>
      <c r="F4" s="120"/>
      <c r="G4" s="120"/>
      <c r="H4" s="121"/>
    </row>
    <row r="5" spans="2:8">
      <c r="B5" s="103" t="s">
        <v>283</v>
      </c>
      <c r="C5" s="159">
        <v>300</v>
      </c>
      <c r="D5" s="159" t="s">
        <v>284</v>
      </c>
      <c r="E5" s="130"/>
      <c r="F5" s="116"/>
      <c r="G5" s="116"/>
      <c r="H5" s="119"/>
    </row>
    <row r="6" spans="2:8">
      <c r="B6" s="156" t="s">
        <v>285</v>
      </c>
      <c r="C6" s="158">
        <v>2.5</v>
      </c>
      <c r="D6" s="158" t="s">
        <v>286</v>
      </c>
      <c r="E6" s="224" t="str">
        <f>'Data Ramp Plan'!E54</f>
        <v>Actual AOS based on existing vendors' use case</v>
      </c>
      <c r="F6" s="120"/>
      <c r="G6" s="120"/>
      <c r="H6" s="121"/>
    </row>
    <row r="7" spans="2:8" ht="36" customHeight="1">
      <c r="B7" s="155" t="s">
        <v>287</v>
      </c>
      <c r="C7" s="157">
        <v>11.25</v>
      </c>
      <c r="D7" s="157" t="s">
        <v>288</v>
      </c>
      <c r="E7" s="251" t="str">
        <f>'Data Ramp Plan'!E55</f>
        <v>per China Mobile RFI file and Baidu Cloud recent operation data</v>
      </c>
      <c r="F7" s="250"/>
      <c r="G7" s="250"/>
      <c r="H7" s="252"/>
    </row>
    <row r="8" spans="2:8" ht="40.5" customHeight="1">
      <c r="B8" s="103" t="s">
        <v>289</v>
      </c>
      <c r="C8" s="159">
        <v>13.5</v>
      </c>
      <c r="D8" s="159" t="s">
        <v>288</v>
      </c>
      <c r="E8" s="253" t="s">
        <v>323</v>
      </c>
      <c r="F8" s="254"/>
      <c r="G8" s="254"/>
      <c r="H8" s="255"/>
    </row>
    <row r="9" spans="2:8">
      <c r="B9" s="103" t="s">
        <v>290</v>
      </c>
      <c r="C9" s="159">
        <v>18.5</v>
      </c>
      <c r="D9" s="159" t="s">
        <v>288</v>
      </c>
      <c r="E9" s="253" t="s">
        <v>347</v>
      </c>
      <c r="F9" s="254"/>
      <c r="G9" s="254"/>
      <c r="H9" s="255"/>
    </row>
    <row r="10" spans="2:8" ht="39.450000000000003" customHeight="1">
      <c r="B10" s="172" t="s">
        <v>322</v>
      </c>
      <c r="C10" s="223">
        <v>0.16700000000000001</v>
      </c>
      <c r="D10" s="159"/>
      <c r="E10" s="253" t="s">
        <v>348</v>
      </c>
      <c r="F10" s="253"/>
      <c r="G10" s="253"/>
      <c r="H10" s="256"/>
    </row>
    <row r="11" spans="2:8">
      <c r="B11" s="191" t="s">
        <v>328</v>
      </c>
      <c r="C11" s="192">
        <v>0.33</v>
      </c>
      <c r="D11" s="158" t="s">
        <v>284</v>
      </c>
      <c r="E11" s="193" t="s">
        <v>351</v>
      </c>
      <c r="F11" s="194"/>
      <c r="G11" s="194"/>
      <c r="H11" s="195"/>
    </row>
    <row r="13" spans="2:8">
      <c r="B13" s="102" t="s">
        <v>291</v>
      </c>
      <c r="C13" s="225" t="s">
        <v>341</v>
      </c>
      <c r="D13" s="226">
        <v>7.08</v>
      </c>
      <c r="E13" s="227" t="s">
        <v>345</v>
      </c>
      <c r="F13" s="226"/>
      <c r="G13" s="100"/>
      <c r="H13" s="100"/>
    </row>
    <row r="14" spans="2:8" ht="41.4">
      <c r="B14" s="104" t="s">
        <v>127</v>
      </c>
      <c r="C14" s="105" t="s">
        <v>292</v>
      </c>
      <c r="D14" s="106" t="s">
        <v>293</v>
      </c>
      <c r="E14" s="106" t="s">
        <v>296</v>
      </c>
      <c r="F14" s="106" t="s">
        <v>297</v>
      </c>
      <c r="G14" s="106" t="s">
        <v>298</v>
      </c>
      <c r="H14" s="107" t="s">
        <v>299</v>
      </c>
    </row>
    <row r="15" spans="2:8">
      <c r="B15" s="246" t="s">
        <v>15</v>
      </c>
      <c r="C15" s="108" t="s">
        <v>294</v>
      </c>
      <c r="D15" s="134">
        <v>0.18099999999999999</v>
      </c>
      <c r="E15" s="114">
        <v>4.4999999999999997E-3</v>
      </c>
      <c r="F15" s="108">
        <v>1.4999999999999999E-2</v>
      </c>
      <c r="G15" s="108">
        <v>0</v>
      </c>
      <c r="H15" s="109">
        <v>0.93300000000000005</v>
      </c>
    </row>
    <row r="16" spans="2:8">
      <c r="B16" s="245"/>
      <c r="C16" s="110" t="s">
        <v>295</v>
      </c>
      <c r="D16" s="135">
        <v>0.13377</v>
      </c>
      <c r="E16" s="115">
        <v>6.3700000000000007E-2</v>
      </c>
      <c r="F16" s="110">
        <v>6.3700000000000007E-2</v>
      </c>
      <c r="G16" s="110">
        <v>6.3700000000000007E-2</v>
      </c>
      <c r="H16" s="111">
        <v>0.93300000000000005</v>
      </c>
    </row>
    <row r="17" spans="2:12">
      <c r="B17" s="246" t="s">
        <v>24</v>
      </c>
      <c r="C17" s="108" t="s">
        <v>294</v>
      </c>
      <c r="D17" s="134">
        <v>0.16289999999999999</v>
      </c>
      <c r="E17" s="114">
        <v>4.0499999999999998E-3</v>
      </c>
      <c r="F17" s="108">
        <v>1.35E-2</v>
      </c>
      <c r="G17" s="108">
        <v>0</v>
      </c>
      <c r="H17" s="109">
        <v>0.93300000000000005</v>
      </c>
    </row>
    <row r="18" spans="2:12">
      <c r="B18" s="245"/>
      <c r="C18" s="110" t="s">
        <v>295</v>
      </c>
      <c r="D18" s="135">
        <v>0.10299999999999999</v>
      </c>
      <c r="E18" s="115">
        <v>4.9050000000000003E-2</v>
      </c>
      <c r="F18" s="110">
        <v>4.9050000000000003E-2</v>
      </c>
      <c r="G18" s="110">
        <v>6.3700000000000007E-2</v>
      </c>
      <c r="H18" s="111">
        <v>0.93300000000000005</v>
      </c>
    </row>
    <row r="20" spans="2:12">
      <c r="B20" s="102" t="s">
        <v>340</v>
      </c>
      <c r="C20" s="101"/>
      <c r="D20" s="100"/>
      <c r="E20" s="132"/>
      <c r="F20" s="100"/>
      <c r="G20" s="100"/>
      <c r="H20" s="100"/>
    </row>
    <row r="21" spans="2:12" ht="41.4">
      <c r="B21" s="104" t="s">
        <v>127</v>
      </c>
      <c r="C21" s="105" t="s">
        <v>292</v>
      </c>
      <c r="D21" s="106" t="s">
        <v>293</v>
      </c>
      <c r="E21" s="106" t="s">
        <v>296</v>
      </c>
      <c r="F21" s="106" t="s">
        <v>297</v>
      </c>
      <c r="G21" s="106" t="s">
        <v>298</v>
      </c>
      <c r="H21" s="107" t="s">
        <v>299</v>
      </c>
    </row>
    <row r="22" spans="2:12">
      <c r="B22" s="246" t="s">
        <v>15</v>
      </c>
      <c r="C22" s="108" t="s">
        <v>294</v>
      </c>
      <c r="D22" s="134">
        <f>D15/$D$13</f>
        <v>2.5564971751412428E-2</v>
      </c>
      <c r="E22" s="211">
        <f t="shared" ref="E22:H22" si="0">E15/$D$13</f>
        <v>6.3559322033898301E-4</v>
      </c>
      <c r="F22" s="134">
        <f t="shared" si="0"/>
        <v>2.1186440677966102E-3</v>
      </c>
      <c r="G22" s="134"/>
      <c r="H22" s="212">
        <f t="shared" si="0"/>
        <v>0.13177966101694916</v>
      </c>
    </row>
    <row r="23" spans="2:12">
      <c r="B23" s="245"/>
      <c r="C23" s="110" t="s">
        <v>295</v>
      </c>
      <c r="D23" s="135">
        <f t="shared" ref="D23:H23" si="1">D16/$D$13</f>
        <v>1.8894067796610171E-2</v>
      </c>
      <c r="E23" s="213">
        <f t="shared" si="1"/>
        <v>8.9971751412429388E-3</v>
      </c>
      <c r="F23" s="135">
        <f t="shared" si="1"/>
        <v>8.9971751412429388E-3</v>
      </c>
      <c r="G23" s="135">
        <f t="shared" si="1"/>
        <v>8.9971751412429388E-3</v>
      </c>
      <c r="H23" s="214">
        <f t="shared" si="1"/>
        <v>0.13177966101694916</v>
      </c>
    </row>
    <row r="24" spans="2:12">
      <c r="B24" s="246" t="s">
        <v>24</v>
      </c>
      <c r="C24" s="108" t="s">
        <v>294</v>
      </c>
      <c r="D24" s="134">
        <f t="shared" ref="D24:H24" si="2">D17/$D$13</f>
        <v>2.3008474576271185E-2</v>
      </c>
      <c r="E24" s="211">
        <f t="shared" si="2"/>
        <v>5.7203389830508473E-4</v>
      </c>
      <c r="F24" s="134">
        <f t="shared" si="2"/>
        <v>1.906779661016949E-3</v>
      </c>
      <c r="G24" s="134"/>
      <c r="H24" s="212">
        <f t="shared" si="2"/>
        <v>0.13177966101694916</v>
      </c>
    </row>
    <row r="25" spans="2:12">
      <c r="B25" s="245"/>
      <c r="C25" s="110" t="s">
        <v>295</v>
      </c>
      <c r="D25" s="135">
        <f t="shared" ref="D25:H25" si="3">D18/$D$13</f>
        <v>1.4548022598870055E-2</v>
      </c>
      <c r="E25" s="213">
        <f t="shared" si="3"/>
        <v>6.9279661016949153E-3</v>
      </c>
      <c r="F25" s="135">
        <f t="shared" si="3"/>
        <v>6.9279661016949153E-3</v>
      </c>
      <c r="G25" s="135">
        <f t="shared" si="3"/>
        <v>8.9971751412429388E-3</v>
      </c>
      <c r="H25" s="214">
        <f t="shared" si="3"/>
        <v>0.13177966101694916</v>
      </c>
    </row>
    <row r="27" spans="2:12">
      <c r="C27" s="126" t="s">
        <v>318</v>
      </c>
      <c r="D27" s="144">
        <v>0.91100000000000003</v>
      </c>
      <c r="E27" s="222">
        <v>0.92500000000000004</v>
      </c>
      <c r="F27" s="222">
        <v>0.76</v>
      </c>
      <c r="G27" s="222">
        <v>0.83599999999999997</v>
      </c>
      <c r="H27" s="153">
        <v>0.86499999999999999</v>
      </c>
      <c r="I27" s="126" t="s">
        <v>315</v>
      </c>
    </row>
    <row r="28" spans="2:12">
      <c r="B28" s="102" t="s">
        <v>344</v>
      </c>
      <c r="C28" s="136" t="s">
        <v>317</v>
      </c>
      <c r="D28" s="144">
        <v>0.89600000000000002</v>
      </c>
      <c r="E28" s="145">
        <f>E27</f>
        <v>0.92500000000000004</v>
      </c>
      <c r="F28" s="145">
        <f t="shared" ref="F28:G28" si="4">F27</f>
        <v>0.76</v>
      </c>
      <c r="G28" s="145">
        <f t="shared" si="4"/>
        <v>0.83599999999999997</v>
      </c>
      <c r="H28" s="154">
        <f>H27</f>
        <v>0.86499999999999999</v>
      </c>
    </row>
    <row r="29" spans="2:12" ht="41.4">
      <c r="B29" s="104" t="s">
        <v>127</v>
      </c>
      <c r="C29" s="105" t="s">
        <v>292</v>
      </c>
      <c r="D29" s="106" t="s">
        <v>293</v>
      </c>
      <c r="E29" s="106" t="s">
        <v>296</v>
      </c>
      <c r="F29" s="106" t="s">
        <v>297</v>
      </c>
      <c r="G29" s="106" t="s">
        <v>298</v>
      </c>
      <c r="H29" s="107" t="s">
        <v>299</v>
      </c>
      <c r="L29" s="163" t="s">
        <v>334</v>
      </c>
    </row>
    <row r="30" spans="2:12">
      <c r="B30" s="246" t="s">
        <v>15</v>
      </c>
      <c r="C30" s="108" t="s">
        <v>294</v>
      </c>
      <c r="D30" s="215">
        <f>(1-D$27)*D22</f>
        <v>2.2752824858757051E-3</v>
      </c>
      <c r="E30" s="216">
        <f>(1-E$27)*E22</f>
        <v>4.7669491525423696E-5</v>
      </c>
      <c r="F30" s="215">
        <f t="shared" ref="F30" si="5">(1-F$27)*F22</f>
        <v>5.0847457627118645E-4</v>
      </c>
      <c r="G30" s="215"/>
      <c r="H30" s="217">
        <f>(1-H$27)*H22</f>
        <v>1.7790254237288139E-2</v>
      </c>
    </row>
    <row r="31" spans="2:12">
      <c r="B31" s="245"/>
      <c r="C31" s="110" t="s">
        <v>295</v>
      </c>
      <c r="D31" s="218">
        <f>(1-D$27)*D23</f>
        <v>1.6815720338983046E-3</v>
      </c>
      <c r="E31" s="219">
        <f t="shared" ref="E31:G31" si="6">(1-E$27)*E23</f>
        <v>6.7478813559321998E-4</v>
      </c>
      <c r="F31" s="218">
        <f t="shared" si="6"/>
        <v>2.1593220338983051E-3</v>
      </c>
      <c r="G31" s="218">
        <f t="shared" si="6"/>
        <v>1.4755367231638423E-3</v>
      </c>
      <c r="H31" s="220">
        <f>(1-H$27)*H23</f>
        <v>1.7790254237288139E-2</v>
      </c>
      <c r="L31" s="163" t="s">
        <v>335</v>
      </c>
    </row>
    <row r="32" spans="2:12">
      <c r="B32" s="246" t="s">
        <v>24</v>
      </c>
      <c r="C32" s="108" t="s">
        <v>294</v>
      </c>
      <c r="D32" s="215">
        <f>(1-D$28)*D24</f>
        <v>2.3928813559322029E-3</v>
      </c>
      <c r="E32" s="216">
        <f>(1-E$28)*E24</f>
        <v>4.2902542372881331E-5</v>
      </c>
      <c r="F32" s="215">
        <f t="shared" ref="F32" si="7">(1-F$28)*F24</f>
        <v>4.5762711864406777E-4</v>
      </c>
      <c r="G32" s="215"/>
      <c r="H32" s="217">
        <f>(1-H$28)*H24</f>
        <v>1.7790254237288139E-2</v>
      </c>
      <c r="L32" s="163" t="s">
        <v>336</v>
      </c>
    </row>
    <row r="33" spans="2:12">
      <c r="B33" s="245"/>
      <c r="C33" s="110" t="s">
        <v>295</v>
      </c>
      <c r="D33" s="218">
        <f t="shared" ref="D33:G33" si="8">(1-D$28)*D25</f>
        <v>1.5129943502824855E-3</v>
      </c>
      <c r="E33" s="219">
        <f t="shared" si="8"/>
        <v>5.1959745762711839E-4</v>
      </c>
      <c r="F33" s="218">
        <f t="shared" si="8"/>
        <v>1.6627118644067795E-3</v>
      </c>
      <c r="G33" s="218">
        <f t="shared" si="8"/>
        <v>1.4755367231638423E-3</v>
      </c>
      <c r="H33" s="220">
        <f t="shared" ref="H33" si="9">(1-H$28)*H25</f>
        <v>1.7790254237288139E-2</v>
      </c>
      <c r="L33" s="163" t="s">
        <v>337</v>
      </c>
    </row>
    <row r="34" spans="2:12">
      <c r="L34" s="163" t="s">
        <v>338</v>
      </c>
    </row>
    <row r="35" spans="2:12" ht="15.6">
      <c r="B35" s="113" t="s">
        <v>301</v>
      </c>
      <c r="C35" s="101"/>
      <c r="D35" s="101"/>
      <c r="E35" s="132"/>
      <c r="F35" s="100"/>
      <c r="G35" s="100"/>
      <c r="H35" s="100"/>
      <c r="I35" s="112"/>
    </row>
    <row r="36" spans="2:12" ht="41.4">
      <c r="B36" s="104" t="s">
        <v>127</v>
      </c>
      <c r="C36" s="105" t="s">
        <v>292</v>
      </c>
      <c r="D36" s="105" t="s">
        <v>302</v>
      </c>
      <c r="E36" s="106" t="s">
        <v>304</v>
      </c>
      <c r="F36" s="105" t="s">
        <v>303</v>
      </c>
      <c r="G36" s="106" t="s">
        <v>305</v>
      </c>
      <c r="H36" s="107" t="s">
        <v>306</v>
      </c>
    </row>
    <row r="37" spans="2:12">
      <c r="B37" s="246" t="s">
        <v>15</v>
      </c>
      <c r="C37" s="108" t="s">
        <v>294</v>
      </c>
      <c r="D37" s="114">
        <v>90</v>
      </c>
      <c r="E37" s="122">
        <f>'Data Ramp Plan'!J11/1000</f>
        <v>4443619.5</v>
      </c>
      <c r="F37" s="122">
        <f>'Data Ramp Plan'!J12/10000</f>
        <v>533234.34</v>
      </c>
      <c r="G37" s="114">
        <v>0</v>
      </c>
      <c r="H37" s="124">
        <f>'Data Ramp Plan'!J14</f>
        <v>947257.34399999992</v>
      </c>
    </row>
    <row r="38" spans="2:12">
      <c r="B38" s="245"/>
      <c r="C38" s="110" t="s">
        <v>295</v>
      </c>
      <c r="D38" s="115">
        <v>210</v>
      </c>
      <c r="E38" s="123">
        <f>'Data Ramp Plan'!J22/1000</f>
        <v>3110533.65</v>
      </c>
      <c r="F38" s="123">
        <f>'Data Ramp Plan'!J23/10000</f>
        <v>373264.038</v>
      </c>
      <c r="G38" s="123">
        <f>'Data Ramp Plan'!J24</f>
        <v>9112891.552734375</v>
      </c>
      <c r="H38" s="125">
        <f>'Data Ramp Plan'!J26</f>
        <v>663080.14079999994</v>
      </c>
    </row>
    <row r="39" spans="2:12">
      <c r="B39" s="246" t="s">
        <v>24</v>
      </c>
      <c r="C39" s="108" t="s">
        <v>294</v>
      </c>
      <c r="D39" s="114">
        <v>90</v>
      </c>
      <c r="E39" s="122">
        <f>E37</f>
        <v>4443619.5</v>
      </c>
      <c r="F39" s="122">
        <f t="shared" ref="F39:H39" si="10">F37</f>
        <v>533234.34</v>
      </c>
      <c r="G39" s="114">
        <f t="shared" si="10"/>
        <v>0</v>
      </c>
      <c r="H39" s="124">
        <f t="shared" si="10"/>
        <v>947257.34399999992</v>
      </c>
    </row>
    <row r="40" spans="2:12">
      <c r="B40" s="245"/>
      <c r="C40" s="110" t="s">
        <v>295</v>
      </c>
      <c r="D40" s="115">
        <v>210</v>
      </c>
      <c r="E40" s="123">
        <f t="shared" ref="E40:H40" si="11">E38</f>
        <v>3110533.65</v>
      </c>
      <c r="F40" s="123">
        <f t="shared" si="11"/>
        <v>373264.038</v>
      </c>
      <c r="G40" s="123">
        <f t="shared" si="11"/>
        <v>9112891.552734375</v>
      </c>
      <c r="H40" s="125">
        <f t="shared" si="11"/>
        <v>663080.14079999994</v>
      </c>
    </row>
    <row r="42" spans="2:12">
      <c r="B42" s="151" t="s">
        <v>343</v>
      </c>
    </row>
    <row r="43" spans="2:12" ht="27.6">
      <c r="B43" s="104" t="s">
        <v>127</v>
      </c>
      <c r="C43" s="105" t="s">
        <v>292</v>
      </c>
      <c r="D43" s="106" t="s">
        <v>310</v>
      </c>
      <c r="E43" s="106" t="s">
        <v>307</v>
      </c>
      <c r="F43" s="106" t="s">
        <v>308</v>
      </c>
      <c r="G43" s="106" t="s">
        <v>309</v>
      </c>
      <c r="H43" s="107" t="s">
        <v>312</v>
      </c>
    </row>
    <row r="44" spans="2:12">
      <c r="B44" s="246" t="s">
        <v>15</v>
      </c>
      <c r="C44" s="108" t="s">
        <v>294</v>
      </c>
      <c r="D44" s="122">
        <f>D37*1024*1024*D30</f>
        <v>214722.59471186431</v>
      </c>
      <c r="E44" s="127">
        <f>E37*E30</f>
        <v>211.82508209745748</v>
      </c>
      <c r="F44" s="127">
        <f t="shared" ref="F44:G44" si="12">F37*F30</f>
        <v>271.13610508474574</v>
      </c>
      <c r="G44" s="128">
        <f t="shared" si="12"/>
        <v>0</v>
      </c>
      <c r="H44" s="124">
        <f t="shared" ref="H44" si="13">H37*H30</f>
        <v>16851.948977898308</v>
      </c>
    </row>
    <row r="45" spans="2:12">
      <c r="B45" s="245"/>
      <c r="C45" s="110" t="s">
        <v>295</v>
      </c>
      <c r="D45" s="123">
        <f t="shared" ref="D45:D47" si="14">D38*1024*1024*D31</f>
        <v>370283.77617355919</v>
      </c>
      <c r="E45" s="129">
        <f t="shared" ref="E45:H45" si="15">E38*E31</f>
        <v>2098.9512023834732</v>
      </c>
      <c r="F45" s="129">
        <f t="shared" si="15"/>
        <v>805.99726171525424</v>
      </c>
      <c r="G45" s="129">
        <f t="shared" si="15"/>
        <v>13446.406140269139</v>
      </c>
      <c r="H45" s="125">
        <f t="shared" si="15"/>
        <v>11796.364284528814</v>
      </c>
    </row>
    <row r="46" spans="2:12">
      <c r="B46" s="244" t="s">
        <v>24</v>
      </c>
      <c r="C46" s="108" t="s">
        <v>294</v>
      </c>
      <c r="D46" s="122">
        <f t="shared" si="14"/>
        <v>225820.61646101691</v>
      </c>
      <c r="E46" s="127">
        <f t="shared" ref="E46:H46" si="16">E39*E32</f>
        <v>190.64257388771176</v>
      </c>
      <c r="F46" s="127">
        <f t="shared" si="16"/>
        <v>244.02249457627116</v>
      </c>
      <c r="G46" s="128">
        <f t="shared" si="16"/>
        <v>0</v>
      </c>
      <c r="H46" s="124">
        <f t="shared" si="16"/>
        <v>16851.948977898308</v>
      </c>
    </row>
    <row r="47" spans="2:12">
      <c r="B47" s="245"/>
      <c r="C47" s="110" t="s">
        <v>295</v>
      </c>
      <c r="D47" s="123">
        <f t="shared" si="14"/>
        <v>333162.80840677954</v>
      </c>
      <c r="E47" s="129">
        <f t="shared" ref="E47:H47" si="17">E40*E33</f>
        <v>1616.2253764036009</v>
      </c>
      <c r="F47" s="129">
        <f t="shared" si="17"/>
        <v>620.63054453898303</v>
      </c>
      <c r="G47" s="129">
        <f t="shared" si="17"/>
        <v>13446.406140269139</v>
      </c>
      <c r="H47" s="125">
        <f t="shared" si="17"/>
        <v>11796.364284528814</v>
      </c>
    </row>
    <row r="49" spans="2:10">
      <c r="B49" s="151" t="s">
        <v>342</v>
      </c>
    </row>
    <row r="50" spans="2:10">
      <c r="B50" s="104" t="s">
        <v>127</v>
      </c>
      <c r="C50" s="146" t="s">
        <v>310</v>
      </c>
      <c r="D50" s="106" t="s">
        <v>311</v>
      </c>
      <c r="E50" s="106" t="s">
        <v>312</v>
      </c>
      <c r="F50" s="137" t="s">
        <v>314</v>
      </c>
      <c r="G50" s="149" t="s">
        <v>316</v>
      </c>
      <c r="H50" s="150"/>
      <c r="I50" s="116"/>
      <c r="J50" s="116"/>
    </row>
    <row r="51" spans="2:10">
      <c r="B51" s="138" t="s">
        <v>15</v>
      </c>
      <c r="C51" s="147">
        <f>SUM(D44:D45)/(300*1024*1024)</f>
        <v>1.8596851694915248E-3</v>
      </c>
      <c r="D51" s="139">
        <f>SUM(E44:G45)/(300*1024*1024)</f>
        <v>5.3514848682244845E-5</v>
      </c>
      <c r="E51" s="139">
        <f>SUM(H44:H45)/(300*1024*1024)</f>
        <v>9.1070535222457643E-5</v>
      </c>
      <c r="F51" s="152">
        <f>SUM(C51:E51)</f>
        <v>2.0042705533962271E-3</v>
      </c>
      <c r="G51" s="242">
        <f>(0.015/1.06)/$D$13</f>
        <v>1.9987208186760469E-3</v>
      </c>
      <c r="H51" s="243"/>
      <c r="I51" s="116"/>
      <c r="J51" s="116"/>
    </row>
    <row r="52" spans="2:10">
      <c r="B52" s="142" t="s">
        <v>313</v>
      </c>
      <c r="C52" s="148">
        <f>C51/$F51</f>
        <v>0.92786134403875609</v>
      </c>
      <c r="D52" s="140">
        <f t="shared" ref="D52:F52" si="18">D51/$F51</f>
        <v>2.670041157445744E-2</v>
      </c>
      <c r="E52" s="140">
        <f t="shared" si="18"/>
        <v>4.5438244386786529E-2</v>
      </c>
      <c r="F52" s="141">
        <f t="shared" si="18"/>
        <v>1</v>
      </c>
    </row>
    <row r="53" spans="2:10">
      <c r="B53" s="143" t="s">
        <v>24</v>
      </c>
      <c r="C53" s="147">
        <f>SUM(D46:D47)/(300*1024*1024)</f>
        <v>1.7769604519774008E-3</v>
      </c>
      <c r="D53" s="139">
        <f>SUM(E46:G47)/(300*1024*1024)</f>
        <v>5.1237510457597433E-5</v>
      </c>
      <c r="E53" s="139">
        <f>SUM(H46:H47)/(300*1024*1024)</f>
        <v>9.1070535222457643E-5</v>
      </c>
      <c r="F53" s="152">
        <f>SUM(C53:E53)</f>
        <v>1.9192684976574558E-3</v>
      </c>
    </row>
    <row r="54" spans="2:10">
      <c r="B54" s="142" t="s">
        <v>313</v>
      </c>
      <c r="C54" s="148">
        <f>C53/$F53</f>
        <v>0.92585297687439372</v>
      </c>
      <c r="D54" s="140">
        <f>D53/$F53</f>
        <v>2.6696374436476641E-2</v>
      </c>
      <c r="E54" s="140">
        <f t="shared" ref="E54" si="19">E53/$F53</f>
        <v>4.7450648689129675E-2</v>
      </c>
      <c r="F54" s="141">
        <f>F53/$F53</f>
        <v>1</v>
      </c>
    </row>
    <row r="56" spans="2:10">
      <c r="C56" s="160"/>
    </row>
  </sheetData>
  <mergeCells count="17">
    <mergeCell ref="B2:B4"/>
    <mergeCell ref="C2:E2"/>
    <mergeCell ref="B44:B45"/>
    <mergeCell ref="B37:B38"/>
    <mergeCell ref="B39:B40"/>
    <mergeCell ref="E7:H7"/>
    <mergeCell ref="E9:H9"/>
    <mergeCell ref="E8:H8"/>
    <mergeCell ref="B22:B23"/>
    <mergeCell ref="B24:B25"/>
    <mergeCell ref="E10:H10"/>
    <mergeCell ref="G51:H51"/>
    <mergeCell ref="B46:B47"/>
    <mergeCell ref="B30:B31"/>
    <mergeCell ref="B32:B33"/>
    <mergeCell ref="B15:B16"/>
    <mergeCell ref="B17:B18"/>
  </mergeCells>
  <pageMargins left="0.7" right="0.7" top="0.75" bottom="0.75" header="0.3" footer="0.3"/>
  <pageSetup orientation="portrait" r:id="rId1"/>
  <ignoredErrors>
    <ignoredError sqref="C52:F52 C53:F53" 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0072D-BB6C-DC4D-9AAE-DCB4A615E236}">
  <dimension ref="A1:W60"/>
  <sheetViews>
    <sheetView topLeftCell="A12" workbookViewId="0">
      <selection activeCell="D32" sqref="D32:E32"/>
    </sheetView>
  </sheetViews>
  <sheetFormatPr defaultColWidth="11" defaultRowHeight="15.6"/>
  <cols>
    <col min="1" max="1" width="8.59765625" customWidth="1"/>
    <col min="5" max="5" width="10.796875" customWidth="1"/>
    <col min="19" max="19" width="10.59765625" customWidth="1"/>
  </cols>
  <sheetData>
    <row r="1" spans="1:23" ht="16.05" customHeight="1">
      <c r="A1" s="296" t="s">
        <v>0</v>
      </c>
      <c r="B1" s="296"/>
      <c r="C1" s="296"/>
      <c r="D1" s="296"/>
      <c r="E1" s="296"/>
      <c r="F1" s="296"/>
      <c r="G1" s="296"/>
      <c r="H1" s="296"/>
      <c r="I1" s="296"/>
      <c r="J1" s="296"/>
      <c r="K1" s="296"/>
      <c r="L1" s="296"/>
      <c r="M1" s="296"/>
      <c r="N1" s="296"/>
      <c r="O1" s="296"/>
      <c r="P1" s="296"/>
      <c r="Q1" s="296"/>
      <c r="R1" s="296"/>
      <c r="S1" s="296"/>
      <c r="T1" s="296"/>
      <c r="U1" s="296"/>
      <c r="V1" s="296"/>
      <c r="W1" s="296"/>
    </row>
    <row r="2" spans="1:23" ht="16.05" customHeight="1" thickBot="1">
      <c r="A2" s="296"/>
      <c r="B2" s="296"/>
      <c r="C2" s="296"/>
      <c r="D2" s="296"/>
      <c r="E2" s="296"/>
      <c r="F2" s="296"/>
      <c r="G2" s="296"/>
      <c r="H2" s="296"/>
      <c r="I2" s="296"/>
      <c r="J2" s="296"/>
      <c r="K2" s="296"/>
      <c r="L2" s="296"/>
      <c r="M2" s="296"/>
      <c r="N2" s="296"/>
      <c r="O2" s="296"/>
      <c r="P2" s="296"/>
      <c r="Q2" s="296"/>
      <c r="R2" s="296"/>
      <c r="S2" s="296"/>
      <c r="T2" s="296"/>
      <c r="U2" s="296"/>
      <c r="V2" s="296"/>
      <c r="W2" s="296"/>
    </row>
    <row r="3" spans="1:23" ht="20.100000000000001" customHeight="1" thickBot="1">
      <c r="A3" s="3" t="s">
        <v>66</v>
      </c>
      <c r="B3" s="297" t="s">
        <v>60</v>
      </c>
      <c r="C3" s="297"/>
      <c r="D3" s="298"/>
      <c r="E3" s="298"/>
      <c r="F3" s="298"/>
      <c r="G3" s="298"/>
      <c r="H3" s="298"/>
      <c r="I3" s="298"/>
      <c r="J3" s="298"/>
      <c r="K3" s="298"/>
      <c r="L3" s="298"/>
      <c r="M3" s="298"/>
      <c r="N3" s="298"/>
      <c r="O3" s="298"/>
      <c r="P3" s="2"/>
      <c r="Q3" s="2"/>
      <c r="R3" s="2"/>
      <c r="S3" s="2"/>
      <c r="T3" s="2"/>
      <c r="U3" s="2"/>
      <c r="V3" s="2"/>
      <c r="W3" s="2"/>
    </row>
    <row r="4" spans="1:23" ht="26.25" customHeight="1">
      <c r="A4" s="4" t="s">
        <v>38</v>
      </c>
      <c r="B4" s="299" t="s">
        <v>113</v>
      </c>
      <c r="C4" s="300"/>
      <c r="D4" s="300"/>
      <c r="E4" s="300"/>
      <c r="F4" s="300"/>
      <c r="G4" s="300"/>
      <c r="H4" s="300"/>
      <c r="I4" s="300"/>
      <c r="J4" s="300"/>
      <c r="K4" s="300"/>
      <c r="L4" s="300"/>
      <c r="M4" s="300"/>
      <c r="N4" s="300"/>
      <c r="O4" s="300"/>
      <c r="P4" s="2"/>
      <c r="Q4" s="2"/>
      <c r="R4" s="2"/>
      <c r="S4" s="2"/>
      <c r="T4" s="2"/>
      <c r="U4" s="2"/>
      <c r="V4" s="2"/>
      <c r="W4" s="2"/>
    </row>
    <row r="5" spans="1:23" ht="36" customHeight="1">
      <c r="B5" s="263" t="s">
        <v>114</v>
      </c>
      <c r="C5" s="263"/>
      <c r="D5" s="263"/>
      <c r="E5" s="263"/>
      <c r="F5" s="263"/>
      <c r="G5" s="263"/>
      <c r="H5" s="263"/>
      <c r="I5" s="263"/>
      <c r="J5" s="263"/>
      <c r="K5" s="263"/>
      <c r="L5" s="263"/>
      <c r="M5" s="263"/>
      <c r="N5" s="263"/>
      <c r="O5" s="263"/>
      <c r="P5" s="2"/>
      <c r="Q5" s="2"/>
      <c r="R5" s="2"/>
      <c r="S5" s="2"/>
      <c r="T5" s="2"/>
      <c r="U5" s="2"/>
      <c r="V5" s="2"/>
      <c r="W5" s="2"/>
    </row>
    <row r="6" spans="1:23" ht="16.05" customHeight="1">
      <c r="A6" s="4" t="s">
        <v>38</v>
      </c>
      <c r="B6" s="294" t="s">
        <v>53</v>
      </c>
      <c r="C6" s="294"/>
      <c r="D6" s="294"/>
      <c r="E6" s="294"/>
      <c r="F6" s="294"/>
      <c r="G6" s="294"/>
      <c r="H6" s="294"/>
      <c r="I6" s="294"/>
      <c r="J6" s="294"/>
      <c r="K6" s="294"/>
      <c r="L6" s="294"/>
      <c r="M6" s="263" t="s">
        <v>47</v>
      </c>
      <c r="N6" s="263"/>
      <c r="O6" s="263"/>
      <c r="P6" s="2"/>
      <c r="Q6" s="2"/>
      <c r="R6" s="2"/>
      <c r="S6" s="2"/>
      <c r="T6" s="2"/>
      <c r="U6" s="2"/>
      <c r="V6" s="2"/>
      <c r="W6" s="2"/>
    </row>
    <row r="7" spans="1:23" ht="16.05" customHeight="1">
      <c r="A7" s="4" t="s">
        <v>38</v>
      </c>
      <c r="B7" s="294" t="s">
        <v>61</v>
      </c>
      <c r="C7" s="294"/>
      <c r="D7" s="294"/>
      <c r="E7" s="294"/>
      <c r="F7" s="294"/>
      <c r="G7" s="294"/>
      <c r="H7" s="294"/>
      <c r="I7" s="294"/>
      <c r="J7" s="294"/>
      <c r="K7" s="294"/>
      <c r="L7" s="294"/>
      <c r="M7" s="263" t="s">
        <v>47</v>
      </c>
      <c r="N7" s="263"/>
      <c r="O7" s="263"/>
      <c r="P7" s="2"/>
      <c r="Q7" s="2"/>
      <c r="R7" s="2"/>
      <c r="S7" s="2"/>
      <c r="T7" s="2"/>
      <c r="U7" s="2"/>
      <c r="V7" s="2"/>
      <c r="W7" s="2"/>
    </row>
    <row r="8" spans="1:23" ht="16.05" customHeight="1">
      <c r="A8" s="4" t="s">
        <v>38</v>
      </c>
      <c r="B8" s="294" t="s">
        <v>54</v>
      </c>
      <c r="C8" s="294"/>
      <c r="D8" s="294"/>
      <c r="E8" s="294"/>
      <c r="F8" s="294"/>
      <c r="G8" s="294"/>
      <c r="H8" s="294"/>
      <c r="I8" s="294"/>
      <c r="J8" s="294"/>
      <c r="K8" s="294"/>
      <c r="L8" s="294"/>
      <c r="M8" s="263" t="s">
        <v>62</v>
      </c>
      <c r="N8" s="263"/>
      <c r="O8" s="263"/>
      <c r="P8" s="2"/>
      <c r="Q8" s="2"/>
      <c r="R8" s="2"/>
      <c r="S8" s="2"/>
      <c r="T8" s="2"/>
      <c r="U8" s="2"/>
      <c r="V8" s="2"/>
      <c r="W8" s="2"/>
    </row>
    <row r="9" spans="1:23" ht="16.05" customHeight="1">
      <c r="A9" s="4" t="s">
        <v>38</v>
      </c>
      <c r="B9" s="294" t="s">
        <v>55</v>
      </c>
      <c r="C9" s="294"/>
      <c r="D9" s="294"/>
      <c r="E9" s="294"/>
      <c r="F9" s="294"/>
      <c r="G9" s="294"/>
      <c r="H9" s="294"/>
      <c r="I9" s="294"/>
      <c r="J9" s="294"/>
      <c r="K9" s="294"/>
      <c r="L9" s="294"/>
      <c r="M9" s="263" t="s">
        <v>47</v>
      </c>
      <c r="N9" s="263"/>
      <c r="O9" s="263"/>
      <c r="P9" s="2"/>
      <c r="Q9" s="2"/>
      <c r="R9" s="2"/>
      <c r="S9" s="2"/>
      <c r="T9" s="2"/>
      <c r="U9" s="2"/>
      <c r="V9" s="2"/>
      <c r="W9" s="2"/>
    </row>
    <row r="10" spans="1:23" ht="16.05" customHeight="1">
      <c r="A10" s="4" t="s">
        <v>38</v>
      </c>
      <c r="B10" s="294" t="s">
        <v>56</v>
      </c>
      <c r="C10" s="294"/>
      <c r="D10" s="294"/>
      <c r="E10" s="294"/>
      <c r="F10" s="294"/>
      <c r="G10" s="294"/>
      <c r="H10" s="294"/>
      <c r="I10" s="294"/>
      <c r="J10" s="294"/>
      <c r="K10" s="294"/>
      <c r="L10" s="294"/>
      <c r="M10" s="263" t="s">
        <v>35</v>
      </c>
      <c r="N10" s="263"/>
      <c r="O10" s="263"/>
      <c r="P10" s="2"/>
      <c r="Q10" s="2"/>
      <c r="R10" s="2"/>
      <c r="S10" s="2"/>
      <c r="T10" s="2"/>
      <c r="U10" s="2"/>
      <c r="V10" s="2"/>
      <c r="W10" s="2"/>
    </row>
    <row r="11" spans="1:23" ht="16.05" customHeight="1">
      <c r="A11" s="4" t="s">
        <v>38</v>
      </c>
      <c r="B11" s="294" t="s">
        <v>57</v>
      </c>
      <c r="C11" s="294"/>
      <c r="D11" s="294"/>
      <c r="E11" s="294"/>
      <c r="F11" s="294"/>
      <c r="G11" s="294"/>
      <c r="H11" s="294"/>
      <c r="I11" s="294"/>
      <c r="J11" s="294"/>
      <c r="K11" s="294"/>
      <c r="L11" s="294"/>
      <c r="M11" s="263" t="s">
        <v>35</v>
      </c>
      <c r="N11" s="263"/>
      <c r="O11" s="263"/>
      <c r="P11" s="5"/>
      <c r="Q11" s="5"/>
      <c r="R11" s="5"/>
      <c r="S11" s="5"/>
      <c r="T11" s="5"/>
      <c r="U11" s="5"/>
      <c r="V11" s="5"/>
      <c r="W11" s="5"/>
    </row>
    <row r="12" spans="1:23" ht="16.05" customHeight="1">
      <c r="A12" s="4" t="s">
        <v>38</v>
      </c>
      <c r="B12" s="294" t="s">
        <v>59</v>
      </c>
      <c r="C12" s="294"/>
      <c r="D12" s="294"/>
      <c r="E12" s="294"/>
      <c r="F12" s="294"/>
      <c r="G12" s="294"/>
      <c r="H12" s="294"/>
      <c r="I12" s="294"/>
      <c r="J12" s="294"/>
      <c r="K12" s="294"/>
      <c r="L12" s="294"/>
      <c r="M12" s="263" t="s">
        <v>47</v>
      </c>
      <c r="N12" s="263"/>
      <c r="O12" s="263"/>
      <c r="P12" s="5"/>
      <c r="Q12" s="5"/>
      <c r="R12" s="5"/>
      <c r="S12" s="5"/>
      <c r="T12" s="5"/>
      <c r="U12" s="5"/>
      <c r="V12" s="5"/>
      <c r="W12" s="5"/>
    </row>
    <row r="13" spans="1:23" ht="16.05" customHeight="1">
      <c r="A13" s="4" t="s">
        <v>38</v>
      </c>
      <c r="B13" s="294" t="s">
        <v>117</v>
      </c>
      <c r="C13" s="294"/>
      <c r="D13" s="294"/>
      <c r="E13" s="294"/>
      <c r="F13" s="294"/>
      <c r="G13" s="294"/>
      <c r="H13" s="294"/>
      <c r="I13" s="294"/>
      <c r="J13" s="294"/>
      <c r="K13" s="294"/>
      <c r="L13" s="294"/>
      <c r="M13" s="263" t="s">
        <v>35</v>
      </c>
      <c r="N13" s="263"/>
      <c r="O13" s="263"/>
      <c r="P13" s="5"/>
      <c r="Q13" s="5"/>
      <c r="R13" s="5"/>
      <c r="S13" s="5"/>
      <c r="T13" s="5"/>
      <c r="U13" s="5"/>
      <c r="V13" s="5"/>
      <c r="W13" s="5"/>
    </row>
    <row r="14" spans="1:23" ht="16.05" customHeight="1">
      <c r="A14" s="4" t="s">
        <v>38</v>
      </c>
      <c r="B14" s="294" t="s">
        <v>116</v>
      </c>
      <c r="C14" s="294"/>
      <c r="D14" s="294"/>
      <c r="E14" s="294"/>
      <c r="F14" s="294"/>
      <c r="G14" s="294"/>
      <c r="H14" s="294"/>
      <c r="I14" s="294"/>
      <c r="J14" s="294"/>
      <c r="K14" s="294"/>
      <c r="L14" s="294"/>
      <c r="M14" s="263" t="s">
        <v>47</v>
      </c>
      <c r="N14" s="263"/>
      <c r="O14" s="263"/>
      <c r="P14" s="5"/>
      <c r="Q14" s="5"/>
      <c r="R14" s="5"/>
      <c r="S14" s="5"/>
      <c r="T14" s="5"/>
      <c r="U14" s="5"/>
      <c r="V14" s="5"/>
      <c r="W14" s="5"/>
    </row>
    <row r="15" spans="1:23" ht="20.100000000000001" customHeight="1">
      <c r="A15" s="2"/>
      <c r="B15" s="295" t="s">
        <v>42</v>
      </c>
      <c r="C15" s="295"/>
      <c r="D15" s="295"/>
      <c r="E15" s="295"/>
      <c r="F15" s="295"/>
      <c r="G15" s="295"/>
      <c r="H15" s="295"/>
      <c r="I15" s="295"/>
      <c r="J15" s="295"/>
      <c r="K15" s="295"/>
      <c r="L15" s="295"/>
      <c r="M15" s="295"/>
      <c r="N15" s="295"/>
      <c r="O15" s="295"/>
      <c r="P15" s="2"/>
      <c r="Q15" s="2"/>
      <c r="R15" s="2"/>
      <c r="S15" s="2"/>
      <c r="T15" s="2"/>
      <c r="U15" s="2"/>
      <c r="V15" s="2"/>
      <c r="W15" s="2"/>
    </row>
    <row r="16" spans="1:23" ht="39" customHeight="1">
      <c r="A16" s="4" t="s">
        <v>38</v>
      </c>
      <c r="B16" s="289" t="s">
        <v>91</v>
      </c>
      <c r="C16" s="289"/>
      <c r="D16" s="289"/>
      <c r="E16" s="289"/>
      <c r="F16" s="289"/>
      <c r="G16" s="289"/>
      <c r="H16" s="289"/>
      <c r="I16" s="289"/>
      <c r="J16" s="289"/>
      <c r="K16" s="289"/>
      <c r="L16" s="289"/>
      <c r="M16" s="263" t="s">
        <v>92</v>
      </c>
      <c r="N16" s="263"/>
      <c r="O16" s="263"/>
      <c r="P16" s="2"/>
      <c r="Q16" s="2"/>
      <c r="R16" s="2"/>
      <c r="S16" s="2"/>
      <c r="T16" s="2"/>
      <c r="U16" s="2"/>
      <c r="V16" s="2"/>
      <c r="W16" s="2"/>
    </row>
    <row r="17" spans="1:23" ht="39" customHeight="1">
      <c r="A17" s="4" t="s">
        <v>38</v>
      </c>
      <c r="B17" s="289" t="s">
        <v>111</v>
      </c>
      <c r="C17" s="289"/>
      <c r="D17" s="289"/>
      <c r="E17" s="289"/>
      <c r="F17" s="289"/>
      <c r="G17" s="289"/>
      <c r="H17" s="289"/>
      <c r="I17" s="289"/>
      <c r="J17" s="289"/>
      <c r="K17" s="289"/>
      <c r="L17" s="289"/>
      <c r="M17" s="263" t="s">
        <v>92</v>
      </c>
      <c r="N17" s="263"/>
      <c r="O17" s="263"/>
      <c r="P17" s="2"/>
      <c r="Q17" s="2"/>
      <c r="R17" s="2"/>
      <c r="S17" s="2"/>
      <c r="T17" s="2"/>
      <c r="U17" s="2"/>
      <c r="V17" s="2"/>
      <c r="W17" s="2"/>
    </row>
    <row r="18" spans="1:23" ht="21">
      <c r="B18" s="290" t="s">
        <v>4</v>
      </c>
      <c r="C18" s="291"/>
      <c r="D18" s="292" t="s">
        <v>43</v>
      </c>
      <c r="E18" s="292"/>
      <c r="F18" s="292" t="s">
        <v>44</v>
      </c>
      <c r="G18" s="292"/>
      <c r="H18" s="292" t="s">
        <v>1</v>
      </c>
      <c r="I18" s="292"/>
      <c r="J18" s="292" t="s">
        <v>2</v>
      </c>
      <c r="K18" s="292"/>
      <c r="L18" s="292" t="s">
        <v>45</v>
      </c>
      <c r="M18" s="292"/>
      <c r="N18" s="292" t="s">
        <v>46</v>
      </c>
      <c r="O18" s="290"/>
      <c r="P18" s="2"/>
      <c r="Q18" s="2"/>
      <c r="R18" s="2"/>
    </row>
    <row r="19" spans="1:23" ht="31.05" customHeight="1">
      <c r="A19" s="1" t="s">
        <v>38</v>
      </c>
      <c r="B19" s="286" t="s">
        <v>39</v>
      </c>
      <c r="C19" s="287"/>
      <c r="D19" s="288" t="s">
        <v>90</v>
      </c>
      <c r="E19" s="288"/>
      <c r="F19" s="288" t="s">
        <v>90</v>
      </c>
      <c r="G19" s="288"/>
      <c r="H19" s="288" t="s">
        <v>90</v>
      </c>
      <c r="I19" s="288"/>
      <c r="J19" s="288" t="s">
        <v>90</v>
      </c>
      <c r="K19" s="288"/>
      <c r="L19" s="288" t="s">
        <v>90</v>
      </c>
      <c r="M19" s="288"/>
      <c r="N19" s="288" t="s">
        <v>90</v>
      </c>
      <c r="O19" s="293"/>
      <c r="P19" s="267" t="s">
        <v>41</v>
      </c>
      <c r="Q19" s="268"/>
      <c r="R19" s="269"/>
    </row>
    <row r="20" spans="1:23" ht="69">
      <c r="B20" s="7" t="s">
        <v>3</v>
      </c>
      <c r="C20" s="11" t="s">
        <v>93</v>
      </c>
      <c r="D20" s="283" t="s">
        <v>109</v>
      </c>
      <c r="E20" s="283"/>
      <c r="F20" s="283" t="s">
        <v>108</v>
      </c>
      <c r="G20" s="283"/>
      <c r="H20" s="283" t="s">
        <v>107</v>
      </c>
      <c r="I20" s="283"/>
      <c r="J20" s="283" t="s">
        <v>106</v>
      </c>
      <c r="K20" s="283"/>
      <c r="L20" s="283" t="s">
        <v>105</v>
      </c>
      <c r="M20" s="283"/>
      <c r="N20" s="283" t="s">
        <v>104</v>
      </c>
      <c r="O20" s="283"/>
      <c r="P20" s="284" t="s">
        <v>122</v>
      </c>
      <c r="Q20" s="285"/>
      <c r="R20" s="285"/>
      <c r="S20" s="279" t="s">
        <v>89</v>
      </c>
      <c r="T20" s="280"/>
      <c r="U20" s="281" t="s">
        <v>115</v>
      </c>
      <c r="V20" s="281"/>
    </row>
    <row r="21" spans="1:23" ht="35.25" customHeight="1">
      <c r="A21" s="282" t="s">
        <v>38</v>
      </c>
      <c r="B21" s="6" t="s">
        <v>35</v>
      </c>
      <c r="C21" s="6" t="s">
        <v>35</v>
      </c>
      <c r="D21" s="275" t="s">
        <v>110</v>
      </c>
      <c r="E21" s="276"/>
      <c r="F21" s="275" t="s">
        <v>99</v>
      </c>
      <c r="G21" s="276"/>
      <c r="H21" s="275" t="s">
        <v>100</v>
      </c>
      <c r="I21" s="276"/>
      <c r="J21" s="275" t="s">
        <v>101</v>
      </c>
      <c r="K21" s="276"/>
      <c r="L21" s="275" t="s">
        <v>102</v>
      </c>
      <c r="M21" s="276"/>
      <c r="N21" s="277" t="s">
        <v>103</v>
      </c>
      <c r="O21" s="278"/>
      <c r="P21" s="285"/>
      <c r="Q21" s="285"/>
      <c r="R21" s="285"/>
      <c r="S21" s="9" t="s">
        <v>85</v>
      </c>
      <c r="T21" s="10">
        <v>0.1</v>
      </c>
      <c r="U21" s="281"/>
      <c r="V21" s="281"/>
    </row>
    <row r="22" spans="1:23" ht="32.25" customHeight="1">
      <c r="A22" s="282"/>
      <c r="B22" s="6" t="s">
        <v>35</v>
      </c>
      <c r="C22" s="6" t="s">
        <v>35</v>
      </c>
      <c r="D22" s="275" t="s">
        <v>98</v>
      </c>
      <c r="E22" s="276"/>
      <c r="F22" s="275" t="s">
        <v>99</v>
      </c>
      <c r="G22" s="276"/>
      <c r="H22" s="275" t="s">
        <v>100</v>
      </c>
      <c r="I22" s="276"/>
      <c r="J22" s="275" t="s">
        <v>101</v>
      </c>
      <c r="K22" s="276"/>
      <c r="L22" s="275" t="s">
        <v>102</v>
      </c>
      <c r="M22" s="276"/>
      <c r="N22" s="277" t="s">
        <v>103</v>
      </c>
      <c r="O22" s="278"/>
      <c r="P22" s="285"/>
      <c r="Q22" s="285"/>
      <c r="R22" s="285"/>
      <c r="S22" s="9" t="s">
        <v>86</v>
      </c>
      <c r="T22" s="10">
        <v>0.2</v>
      </c>
      <c r="U22" s="281"/>
      <c r="V22" s="281"/>
    </row>
    <row r="23" spans="1:23" ht="31.05" customHeight="1">
      <c r="A23" s="282"/>
      <c r="B23" s="6" t="s">
        <v>35</v>
      </c>
      <c r="C23" s="6" t="s">
        <v>35</v>
      </c>
      <c r="D23" s="275" t="s">
        <v>98</v>
      </c>
      <c r="E23" s="276"/>
      <c r="F23" s="275" t="s">
        <v>99</v>
      </c>
      <c r="G23" s="276"/>
      <c r="H23" s="275" t="s">
        <v>100</v>
      </c>
      <c r="I23" s="276"/>
      <c r="J23" s="275" t="s">
        <v>101</v>
      </c>
      <c r="K23" s="276"/>
      <c r="L23" s="275" t="s">
        <v>102</v>
      </c>
      <c r="M23" s="276"/>
      <c r="N23" s="277" t="s">
        <v>103</v>
      </c>
      <c r="O23" s="278"/>
      <c r="P23" s="285"/>
      <c r="Q23" s="285"/>
      <c r="R23" s="285"/>
      <c r="S23" s="9" t="s">
        <v>87</v>
      </c>
      <c r="T23" s="10">
        <v>0.3</v>
      </c>
      <c r="U23" s="281"/>
      <c r="V23" s="281"/>
    </row>
    <row r="24" spans="1:23" ht="32.25" customHeight="1">
      <c r="A24" s="282"/>
      <c r="B24" s="6" t="s">
        <v>35</v>
      </c>
      <c r="C24" s="6" t="s">
        <v>35</v>
      </c>
      <c r="D24" s="275" t="s">
        <v>98</v>
      </c>
      <c r="E24" s="276"/>
      <c r="F24" s="275" t="s">
        <v>99</v>
      </c>
      <c r="G24" s="276"/>
      <c r="H24" s="275" t="s">
        <v>100</v>
      </c>
      <c r="I24" s="276"/>
      <c r="J24" s="275" t="s">
        <v>101</v>
      </c>
      <c r="K24" s="276"/>
      <c r="L24" s="275" t="s">
        <v>102</v>
      </c>
      <c r="M24" s="276"/>
      <c r="N24" s="277" t="s">
        <v>103</v>
      </c>
      <c r="O24" s="278"/>
      <c r="P24" s="285"/>
      <c r="Q24" s="285"/>
      <c r="R24" s="285"/>
      <c r="S24" s="9" t="s">
        <v>88</v>
      </c>
      <c r="T24" s="10">
        <v>0.4</v>
      </c>
      <c r="U24" s="281"/>
      <c r="V24" s="281"/>
    </row>
    <row r="25" spans="1:23" ht="31.05" customHeight="1">
      <c r="A25" s="282"/>
      <c r="B25" s="6" t="s">
        <v>35</v>
      </c>
      <c r="C25" s="6" t="s">
        <v>35</v>
      </c>
      <c r="D25" s="275" t="s">
        <v>98</v>
      </c>
      <c r="E25" s="276"/>
      <c r="F25" s="275" t="s">
        <v>99</v>
      </c>
      <c r="G25" s="276"/>
      <c r="H25" s="275" t="s">
        <v>100</v>
      </c>
      <c r="I25" s="276"/>
      <c r="J25" s="275" t="s">
        <v>101</v>
      </c>
      <c r="K25" s="276"/>
      <c r="L25" s="275" t="s">
        <v>102</v>
      </c>
      <c r="M25" s="276"/>
      <c r="N25" s="277" t="s">
        <v>103</v>
      </c>
      <c r="O25" s="278"/>
      <c r="P25" s="285"/>
      <c r="Q25" s="285"/>
      <c r="R25" s="285"/>
    </row>
    <row r="26" spans="1:23" ht="34.049999999999997" customHeight="1">
      <c r="A26" s="282"/>
      <c r="B26" s="6" t="s">
        <v>35</v>
      </c>
      <c r="C26" s="6" t="s">
        <v>35</v>
      </c>
      <c r="D26" s="275" t="s">
        <v>98</v>
      </c>
      <c r="E26" s="276"/>
      <c r="F26" s="275" t="s">
        <v>99</v>
      </c>
      <c r="G26" s="276"/>
      <c r="H26" s="275" t="s">
        <v>100</v>
      </c>
      <c r="I26" s="276"/>
      <c r="J26" s="275" t="s">
        <v>101</v>
      </c>
      <c r="K26" s="276"/>
      <c r="L26" s="275" t="s">
        <v>102</v>
      </c>
      <c r="M26" s="276"/>
      <c r="N26" s="277" t="s">
        <v>103</v>
      </c>
      <c r="O26" s="278"/>
      <c r="P26" s="285"/>
      <c r="Q26" s="285"/>
      <c r="R26" s="285"/>
    </row>
    <row r="27" spans="1:23" ht="32.25" customHeight="1">
      <c r="A27" s="282"/>
      <c r="B27" s="6" t="s">
        <v>35</v>
      </c>
      <c r="C27" s="6" t="s">
        <v>35</v>
      </c>
      <c r="D27" s="275" t="s">
        <v>98</v>
      </c>
      <c r="E27" s="276"/>
      <c r="F27" s="275" t="s">
        <v>99</v>
      </c>
      <c r="G27" s="276"/>
      <c r="H27" s="275" t="s">
        <v>100</v>
      </c>
      <c r="I27" s="276"/>
      <c r="J27" s="275" t="s">
        <v>101</v>
      </c>
      <c r="K27" s="276"/>
      <c r="L27" s="275" t="s">
        <v>102</v>
      </c>
      <c r="M27" s="276"/>
      <c r="N27" s="277" t="s">
        <v>103</v>
      </c>
      <c r="O27" s="278"/>
      <c r="P27" s="285"/>
      <c r="Q27" s="285"/>
      <c r="R27" s="285"/>
    </row>
    <row r="28" spans="1:23" ht="32.25" customHeight="1">
      <c r="A28" s="282"/>
      <c r="B28" s="6" t="s">
        <v>35</v>
      </c>
      <c r="C28" s="6" t="s">
        <v>35</v>
      </c>
      <c r="D28" s="275" t="s">
        <v>98</v>
      </c>
      <c r="E28" s="276"/>
      <c r="F28" s="275" t="s">
        <v>99</v>
      </c>
      <c r="G28" s="276"/>
      <c r="H28" s="275" t="s">
        <v>100</v>
      </c>
      <c r="I28" s="276"/>
      <c r="J28" s="275" t="s">
        <v>101</v>
      </c>
      <c r="K28" s="276"/>
      <c r="L28" s="275" t="s">
        <v>102</v>
      </c>
      <c r="M28" s="276"/>
      <c r="N28" s="277" t="s">
        <v>103</v>
      </c>
      <c r="O28" s="278"/>
      <c r="P28" s="285"/>
      <c r="Q28" s="285"/>
      <c r="R28" s="285"/>
    </row>
    <row r="29" spans="1:23" ht="33" customHeight="1">
      <c r="A29" s="282"/>
      <c r="B29" s="6" t="s">
        <v>35</v>
      </c>
      <c r="C29" s="6" t="s">
        <v>35</v>
      </c>
      <c r="D29" s="275" t="s">
        <v>98</v>
      </c>
      <c r="E29" s="276"/>
      <c r="F29" s="275" t="s">
        <v>99</v>
      </c>
      <c r="G29" s="276"/>
      <c r="H29" s="275" t="s">
        <v>100</v>
      </c>
      <c r="I29" s="276"/>
      <c r="J29" s="275" t="s">
        <v>101</v>
      </c>
      <c r="K29" s="276"/>
      <c r="L29" s="275" t="s">
        <v>102</v>
      </c>
      <c r="M29" s="276"/>
      <c r="N29" s="277" t="s">
        <v>103</v>
      </c>
      <c r="O29" s="278"/>
      <c r="P29" s="285"/>
      <c r="Q29" s="285"/>
      <c r="R29" s="285"/>
    </row>
    <row r="30" spans="1:23" ht="31.05" customHeight="1">
      <c r="A30" s="282"/>
      <c r="B30" s="6" t="s">
        <v>35</v>
      </c>
      <c r="C30" s="6" t="s">
        <v>35</v>
      </c>
      <c r="D30" s="275" t="s">
        <v>98</v>
      </c>
      <c r="E30" s="276"/>
      <c r="F30" s="275" t="s">
        <v>99</v>
      </c>
      <c r="G30" s="276"/>
      <c r="H30" s="275" t="s">
        <v>100</v>
      </c>
      <c r="I30" s="276"/>
      <c r="J30" s="275" t="s">
        <v>101</v>
      </c>
      <c r="K30" s="276"/>
      <c r="L30" s="275" t="s">
        <v>102</v>
      </c>
      <c r="M30" s="276"/>
      <c r="N30" s="277" t="s">
        <v>103</v>
      </c>
      <c r="O30" s="278"/>
      <c r="P30" s="285"/>
      <c r="Q30" s="285"/>
      <c r="R30" s="285"/>
    </row>
    <row r="31" spans="1:23" ht="33" customHeight="1">
      <c r="A31" s="282"/>
      <c r="B31" s="6" t="s">
        <v>35</v>
      </c>
      <c r="C31" s="6" t="s">
        <v>35</v>
      </c>
      <c r="D31" s="275" t="s">
        <v>98</v>
      </c>
      <c r="E31" s="276"/>
      <c r="F31" s="275" t="s">
        <v>99</v>
      </c>
      <c r="G31" s="276"/>
      <c r="H31" s="275" t="s">
        <v>100</v>
      </c>
      <c r="I31" s="276"/>
      <c r="J31" s="275" t="s">
        <v>101</v>
      </c>
      <c r="K31" s="276"/>
      <c r="L31" s="275" t="s">
        <v>102</v>
      </c>
      <c r="M31" s="276"/>
      <c r="N31" s="277" t="s">
        <v>103</v>
      </c>
      <c r="O31" s="278"/>
      <c r="P31" s="285"/>
      <c r="Q31" s="285"/>
      <c r="R31" s="285"/>
    </row>
    <row r="32" spans="1:23" ht="34.049999999999997" customHeight="1">
      <c r="A32" s="282"/>
      <c r="B32" s="8" t="s">
        <v>35</v>
      </c>
      <c r="C32" s="8" t="s">
        <v>35</v>
      </c>
      <c r="D32" s="271" t="s">
        <v>98</v>
      </c>
      <c r="E32" s="272"/>
      <c r="F32" s="271" t="s">
        <v>99</v>
      </c>
      <c r="G32" s="272"/>
      <c r="H32" s="271" t="s">
        <v>100</v>
      </c>
      <c r="I32" s="272"/>
      <c r="J32" s="271" t="s">
        <v>101</v>
      </c>
      <c r="K32" s="272"/>
      <c r="L32" s="271" t="s">
        <v>102</v>
      </c>
      <c r="M32" s="272"/>
      <c r="N32" s="273" t="s">
        <v>103</v>
      </c>
      <c r="O32" s="274"/>
      <c r="P32" s="285"/>
      <c r="Q32" s="285"/>
      <c r="R32" s="285"/>
    </row>
    <row r="33" spans="1:18" ht="51" customHeight="1">
      <c r="B33" s="266" t="s">
        <v>112</v>
      </c>
      <c r="C33" s="266"/>
      <c r="D33" s="266"/>
      <c r="E33" s="266"/>
      <c r="F33" s="266"/>
      <c r="G33" s="266"/>
      <c r="H33" s="266"/>
      <c r="I33" s="266"/>
      <c r="J33" s="266"/>
      <c r="K33" s="266"/>
      <c r="L33" s="266"/>
      <c r="M33" s="266"/>
      <c r="N33" s="266"/>
      <c r="O33" s="266"/>
    </row>
    <row r="34" spans="1:18" ht="24" customHeight="1">
      <c r="B34" s="265" t="s">
        <v>118</v>
      </c>
      <c r="C34" s="265"/>
      <c r="D34" s="265"/>
      <c r="E34" s="265"/>
      <c r="F34" s="265"/>
      <c r="G34" s="265"/>
      <c r="H34" s="265"/>
      <c r="I34" s="265"/>
      <c r="J34" s="265"/>
      <c r="K34" s="265"/>
      <c r="L34" s="265"/>
      <c r="M34" s="265"/>
      <c r="N34" s="265"/>
      <c r="O34" s="265"/>
      <c r="P34" s="267" t="s">
        <v>41</v>
      </c>
      <c r="Q34" s="268"/>
      <c r="R34" s="269"/>
    </row>
    <row r="35" spans="1:18">
      <c r="A35" s="1" t="s">
        <v>38</v>
      </c>
      <c r="B35" s="262" t="s">
        <v>50</v>
      </c>
      <c r="C35" s="262"/>
      <c r="D35" s="262"/>
      <c r="E35" s="262"/>
      <c r="F35" s="262"/>
      <c r="G35" s="262"/>
      <c r="H35" s="262"/>
      <c r="I35" s="262"/>
      <c r="J35" s="262"/>
      <c r="K35" s="262"/>
      <c r="L35" s="262"/>
      <c r="M35" s="261" t="s">
        <v>40</v>
      </c>
      <c r="N35" s="261"/>
      <c r="O35" s="261"/>
      <c r="P35" s="270" t="s">
        <v>121</v>
      </c>
      <c r="Q35" s="270"/>
      <c r="R35" s="270"/>
    </row>
    <row r="36" spans="1:18">
      <c r="A36" s="1" t="s">
        <v>38</v>
      </c>
      <c r="B36" s="262" t="s">
        <v>73</v>
      </c>
      <c r="C36" s="262"/>
      <c r="D36" s="262"/>
      <c r="E36" s="262"/>
      <c r="F36" s="262"/>
      <c r="G36" s="262"/>
      <c r="H36" s="262"/>
      <c r="I36" s="262"/>
      <c r="J36" s="262"/>
      <c r="K36" s="262"/>
      <c r="L36" s="262"/>
      <c r="M36" s="263" t="s">
        <v>35</v>
      </c>
      <c r="N36" s="263"/>
      <c r="O36" s="263"/>
      <c r="P36" s="270"/>
      <c r="Q36" s="270"/>
      <c r="R36" s="270"/>
    </row>
    <row r="37" spans="1:18">
      <c r="A37" s="1" t="s">
        <v>38</v>
      </c>
      <c r="B37" s="262" t="s">
        <v>72</v>
      </c>
      <c r="C37" s="262"/>
      <c r="D37" s="262"/>
      <c r="E37" s="262"/>
      <c r="F37" s="262"/>
      <c r="G37" s="262"/>
      <c r="H37" s="262"/>
      <c r="I37" s="262"/>
      <c r="J37" s="262"/>
      <c r="K37" s="262"/>
      <c r="L37" s="262"/>
      <c r="M37" s="261" t="s">
        <v>47</v>
      </c>
      <c r="N37" s="261"/>
      <c r="O37" s="261"/>
      <c r="P37" s="270"/>
      <c r="Q37" s="270"/>
      <c r="R37" s="270"/>
    </row>
    <row r="38" spans="1:18">
      <c r="A38" s="1" t="s">
        <v>38</v>
      </c>
      <c r="B38" s="262" t="s">
        <v>58</v>
      </c>
      <c r="C38" s="262"/>
      <c r="D38" s="262"/>
      <c r="E38" s="262"/>
      <c r="F38" s="262"/>
      <c r="G38" s="262"/>
      <c r="H38" s="262"/>
      <c r="I38" s="262"/>
      <c r="J38" s="262"/>
      <c r="K38" s="262"/>
      <c r="L38" s="262"/>
      <c r="M38" s="261" t="s">
        <v>47</v>
      </c>
      <c r="N38" s="261"/>
      <c r="O38" s="261"/>
      <c r="P38" s="270"/>
      <c r="Q38" s="270"/>
      <c r="R38" s="270"/>
    </row>
    <row r="39" spans="1:18">
      <c r="A39" s="1" t="s">
        <v>38</v>
      </c>
      <c r="B39" s="262" t="s">
        <v>63</v>
      </c>
      <c r="C39" s="262"/>
      <c r="D39" s="262"/>
      <c r="E39" s="262"/>
      <c r="F39" s="262"/>
      <c r="G39" s="262"/>
      <c r="H39" s="262"/>
      <c r="I39" s="262"/>
      <c r="J39" s="262"/>
      <c r="K39" s="262"/>
      <c r="L39" s="262"/>
      <c r="M39" s="261" t="s">
        <v>47</v>
      </c>
      <c r="N39" s="261"/>
      <c r="O39" s="261"/>
      <c r="P39" s="270"/>
      <c r="Q39" s="270"/>
      <c r="R39" s="270"/>
    </row>
    <row r="40" spans="1:18">
      <c r="A40" s="1" t="s">
        <v>38</v>
      </c>
      <c r="B40" s="262" t="s">
        <v>71</v>
      </c>
      <c r="C40" s="262"/>
      <c r="D40" s="262"/>
      <c r="E40" s="262"/>
      <c r="F40" s="262"/>
      <c r="G40" s="262"/>
      <c r="H40" s="262"/>
      <c r="I40" s="262"/>
      <c r="J40" s="262"/>
      <c r="K40" s="262"/>
      <c r="L40" s="262"/>
      <c r="M40" s="263" t="s">
        <v>35</v>
      </c>
      <c r="N40" s="263"/>
      <c r="O40" s="263"/>
      <c r="P40" s="270"/>
      <c r="Q40" s="270"/>
      <c r="R40" s="270"/>
    </row>
    <row r="41" spans="1:18">
      <c r="A41" s="1" t="s">
        <v>38</v>
      </c>
      <c r="B41" s="262" t="s">
        <v>72</v>
      </c>
      <c r="C41" s="262"/>
      <c r="D41" s="262"/>
      <c r="E41" s="262"/>
      <c r="F41" s="262"/>
      <c r="G41" s="262"/>
      <c r="H41" s="262"/>
      <c r="I41" s="262"/>
      <c r="J41" s="262"/>
      <c r="K41" s="262"/>
      <c r="L41" s="262"/>
      <c r="M41" s="261" t="s">
        <v>47</v>
      </c>
      <c r="N41" s="261"/>
      <c r="O41" s="261"/>
      <c r="P41" s="270"/>
      <c r="Q41" s="270"/>
      <c r="R41" s="270"/>
    </row>
    <row r="42" spans="1:18">
      <c r="A42" s="1" t="s">
        <v>38</v>
      </c>
      <c r="B42" s="262" t="s">
        <v>64</v>
      </c>
      <c r="C42" s="262"/>
      <c r="D42" s="262"/>
      <c r="E42" s="262"/>
      <c r="F42" s="262"/>
      <c r="G42" s="262"/>
      <c r="H42" s="262"/>
      <c r="I42" s="262"/>
      <c r="J42" s="262"/>
      <c r="K42" s="262"/>
      <c r="L42" s="262"/>
      <c r="M42" s="261" t="s">
        <v>40</v>
      </c>
      <c r="N42" s="261"/>
      <c r="O42" s="261"/>
      <c r="P42" s="270"/>
      <c r="Q42" s="270"/>
      <c r="R42" s="270"/>
    </row>
    <row r="43" spans="1:18">
      <c r="A43" s="1" t="s">
        <v>38</v>
      </c>
      <c r="B43" s="262" t="s">
        <v>65</v>
      </c>
      <c r="C43" s="262"/>
      <c r="D43" s="262"/>
      <c r="E43" s="262"/>
      <c r="F43" s="262"/>
      <c r="G43" s="262"/>
      <c r="H43" s="262"/>
      <c r="I43" s="262"/>
      <c r="J43" s="262"/>
      <c r="K43" s="262"/>
      <c r="L43" s="262"/>
      <c r="M43" s="263" t="s">
        <v>35</v>
      </c>
      <c r="N43" s="263"/>
      <c r="O43" s="263"/>
      <c r="P43" s="270"/>
      <c r="Q43" s="270"/>
      <c r="R43" s="270"/>
    </row>
    <row r="44" spans="1:18">
      <c r="A44" s="1" t="s">
        <v>38</v>
      </c>
      <c r="B44" s="262" t="s">
        <v>72</v>
      </c>
      <c r="C44" s="262"/>
      <c r="D44" s="262"/>
      <c r="E44" s="262"/>
      <c r="F44" s="262"/>
      <c r="G44" s="262"/>
      <c r="H44" s="262"/>
      <c r="I44" s="262"/>
      <c r="J44" s="262"/>
      <c r="K44" s="262"/>
      <c r="L44" s="262"/>
      <c r="M44" s="261" t="s">
        <v>47</v>
      </c>
      <c r="N44" s="261"/>
      <c r="O44" s="261"/>
      <c r="P44" s="270"/>
      <c r="Q44" s="270"/>
      <c r="R44" s="270"/>
    </row>
    <row r="45" spans="1:18" ht="23.25" customHeight="1">
      <c r="B45" s="265" t="s">
        <v>120</v>
      </c>
      <c r="C45" s="265"/>
      <c r="D45" s="265"/>
      <c r="E45" s="265"/>
      <c r="F45" s="265"/>
      <c r="G45" s="265"/>
      <c r="H45" s="265"/>
      <c r="I45" s="265"/>
      <c r="J45" s="265"/>
      <c r="K45" s="265"/>
      <c r="L45" s="265"/>
      <c r="M45" s="265"/>
      <c r="N45" s="265"/>
      <c r="O45" s="265"/>
    </row>
    <row r="46" spans="1:18">
      <c r="B46" s="262" t="s">
        <v>48</v>
      </c>
      <c r="C46" s="262"/>
      <c r="D46" s="262"/>
      <c r="E46" s="262"/>
      <c r="F46" s="262"/>
      <c r="G46" s="262"/>
      <c r="H46" s="262"/>
      <c r="I46" s="262"/>
      <c r="J46" s="262"/>
      <c r="K46" s="262"/>
      <c r="L46" s="262"/>
      <c r="M46" s="261" t="s">
        <v>40</v>
      </c>
      <c r="N46" s="261"/>
      <c r="O46" s="261"/>
    </row>
    <row r="47" spans="1:18">
      <c r="B47" s="262" t="s">
        <v>49</v>
      </c>
      <c r="C47" s="262"/>
      <c r="D47" s="262"/>
      <c r="E47" s="262"/>
      <c r="F47" s="262"/>
      <c r="G47" s="262"/>
      <c r="H47" s="262"/>
      <c r="I47" s="262"/>
      <c r="J47" s="262"/>
      <c r="K47" s="262"/>
      <c r="L47" s="262"/>
      <c r="M47" s="261" t="s">
        <v>40</v>
      </c>
      <c r="N47" s="261"/>
      <c r="O47" s="261"/>
    </row>
    <row r="48" spans="1:18">
      <c r="B48" s="262" t="s">
        <v>51</v>
      </c>
      <c r="C48" s="262"/>
      <c r="D48" s="262"/>
      <c r="E48" s="262"/>
      <c r="F48" s="262"/>
      <c r="G48" s="262"/>
      <c r="H48" s="262"/>
      <c r="I48" s="262"/>
      <c r="J48" s="262"/>
      <c r="K48" s="262"/>
      <c r="L48" s="262"/>
      <c r="M48" s="261" t="s">
        <v>47</v>
      </c>
      <c r="N48" s="261"/>
      <c r="O48" s="261"/>
    </row>
    <row r="49" spans="2:15">
      <c r="B49" s="262" t="s">
        <v>52</v>
      </c>
      <c r="C49" s="262"/>
      <c r="D49" s="262"/>
      <c r="E49" s="262"/>
      <c r="F49" s="262"/>
      <c r="G49" s="262"/>
      <c r="H49" s="262"/>
      <c r="I49" s="262"/>
      <c r="J49" s="262"/>
      <c r="K49" s="262"/>
      <c r="L49" s="262"/>
      <c r="M49" s="261" t="s">
        <v>47</v>
      </c>
      <c r="N49" s="261"/>
      <c r="O49" s="261"/>
    </row>
    <row r="50" spans="2:15">
      <c r="B50" s="262" t="s">
        <v>70</v>
      </c>
      <c r="C50" s="262"/>
      <c r="D50" s="262"/>
      <c r="E50" s="262"/>
      <c r="F50" s="262"/>
      <c r="G50" s="262"/>
      <c r="H50" s="262"/>
      <c r="I50" s="262"/>
      <c r="J50" s="262"/>
      <c r="K50" s="262"/>
      <c r="L50" s="262"/>
      <c r="M50" s="261" t="s">
        <v>40</v>
      </c>
      <c r="N50" s="261"/>
      <c r="O50" s="261"/>
    </row>
    <row r="51" spans="2:15">
      <c r="B51" s="262" t="s">
        <v>119</v>
      </c>
      <c r="C51" s="262"/>
      <c r="D51" s="262"/>
      <c r="E51" s="262"/>
      <c r="F51" s="262"/>
      <c r="G51" s="262"/>
      <c r="H51" s="262"/>
      <c r="I51" s="262"/>
      <c r="J51" s="262"/>
      <c r="K51" s="262"/>
      <c r="L51" s="262"/>
      <c r="M51" s="263" t="s">
        <v>35</v>
      </c>
      <c r="N51" s="263"/>
      <c r="O51" s="263"/>
    </row>
    <row r="52" spans="2:15">
      <c r="B52" s="262" t="s">
        <v>80</v>
      </c>
      <c r="C52" s="262"/>
      <c r="D52" s="262"/>
      <c r="E52" s="262"/>
      <c r="F52" s="262"/>
      <c r="G52" s="262"/>
      <c r="H52" s="262"/>
      <c r="I52" s="262"/>
      <c r="J52" s="262"/>
      <c r="K52" s="262"/>
      <c r="L52" s="262"/>
      <c r="M52" s="261" t="s">
        <v>47</v>
      </c>
      <c r="N52" s="261"/>
      <c r="O52" s="261"/>
    </row>
    <row r="53" spans="2:15">
      <c r="B53" s="264" t="s">
        <v>79</v>
      </c>
      <c r="C53" s="264"/>
      <c r="D53" s="264"/>
      <c r="E53" s="264"/>
      <c r="F53" s="264"/>
      <c r="G53" s="264"/>
      <c r="H53" s="264"/>
      <c r="I53" s="264"/>
      <c r="J53" s="264"/>
      <c r="K53" s="264"/>
      <c r="L53" s="264"/>
      <c r="M53" s="261" t="s">
        <v>47</v>
      </c>
      <c r="N53" s="261"/>
      <c r="O53" s="261"/>
    </row>
    <row r="54" spans="2:15">
      <c r="B54" s="260" t="s">
        <v>74</v>
      </c>
      <c r="C54" s="260"/>
      <c r="D54" s="260"/>
      <c r="E54" s="260"/>
      <c r="F54" s="260"/>
      <c r="G54" s="260"/>
      <c r="H54" s="260"/>
      <c r="I54" s="260"/>
      <c r="J54" s="260"/>
      <c r="K54" s="260"/>
      <c r="L54" s="260"/>
      <c r="M54" s="261" t="s">
        <v>47</v>
      </c>
      <c r="N54" s="261"/>
      <c r="O54" s="261"/>
    </row>
    <row r="55" spans="2:15">
      <c r="B55" s="260" t="s">
        <v>75</v>
      </c>
      <c r="C55" s="260"/>
      <c r="D55" s="260"/>
      <c r="E55" s="260"/>
      <c r="F55" s="260"/>
      <c r="G55" s="260"/>
      <c r="H55" s="260"/>
      <c r="I55" s="260"/>
      <c r="J55" s="260"/>
      <c r="K55" s="260"/>
      <c r="L55" s="260"/>
      <c r="M55" s="261" t="s">
        <v>47</v>
      </c>
      <c r="N55" s="261"/>
      <c r="O55" s="261"/>
    </row>
    <row r="56" spans="2:15">
      <c r="B56" s="260" t="s">
        <v>76</v>
      </c>
      <c r="C56" s="260"/>
      <c r="D56" s="260"/>
      <c r="E56" s="260"/>
      <c r="F56" s="260"/>
      <c r="G56" s="260"/>
      <c r="H56" s="260"/>
      <c r="I56" s="260"/>
      <c r="J56" s="260"/>
      <c r="K56" s="260"/>
      <c r="L56" s="260"/>
      <c r="M56" s="261" t="s">
        <v>47</v>
      </c>
      <c r="N56" s="261"/>
      <c r="O56" s="261"/>
    </row>
    <row r="57" spans="2:15">
      <c r="B57" s="260" t="s">
        <v>77</v>
      </c>
      <c r="C57" s="260"/>
      <c r="D57" s="260"/>
      <c r="E57" s="260"/>
      <c r="F57" s="260"/>
      <c r="G57" s="260"/>
      <c r="H57" s="260"/>
      <c r="I57" s="260"/>
      <c r="J57" s="260"/>
      <c r="K57" s="260"/>
      <c r="L57" s="260"/>
      <c r="M57" s="261" t="s">
        <v>47</v>
      </c>
      <c r="N57" s="261"/>
      <c r="O57" s="261"/>
    </row>
    <row r="58" spans="2:15">
      <c r="B58" s="260" t="s">
        <v>78</v>
      </c>
      <c r="C58" s="260"/>
      <c r="D58" s="260"/>
      <c r="E58" s="260"/>
      <c r="F58" s="260"/>
      <c r="G58" s="260"/>
      <c r="H58" s="260"/>
      <c r="I58" s="260"/>
      <c r="J58" s="260"/>
      <c r="K58" s="260"/>
      <c r="L58" s="260"/>
      <c r="M58" s="261" t="s">
        <v>47</v>
      </c>
      <c r="N58" s="261"/>
      <c r="O58" s="261"/>
    </row>
    <row r="59" spans="2:15">
      <c r="B59" s="257" t="s">
        <v>81</v>
      </c>
      <c r="C59" s="257"/>
      <c r="D59" s="257"/>
      <c r="E59" s="257"/>
      <c r="F59" s="257"/>
      <c r="G59" s="257"/>
      <c r="H59" s="257"/>
      <c r="I59" s="257"/>
      <c r="J59" s="257"/>
      <c r="K59" s="257"/>
      <c r="L59" s="257"/>
      <c r="M59" s="261" t="s">
        <v>35</v>
      </c>
      <c r="N59" s="261"/>
      <c r="O59" s="261"/>
    </row>
    <row r="60" spans="2:15">
      <c r="B60" s="257" t="s">
        <v>84</v>
      </c>
      <c r="C60" s="257"/>
      <c r="D60" s="257"/>
      <c r="E60" s="257"/>
      <c r="F60" s="257"/>
      <c r="G60" s="257"/>
      <c r="H60" s="257"/>
      <c r="I60" s="257"/>
      <c r="J60" s="257"/>
      <c r="K60" s="257"/>
      <c r="L60" s="257"/>
      <c r="M60" s="258"/>
      <c r="N60" s="259"/>
      <c r="O60" s="259"/>
    </row>
  </sheetData>
  <mergeCells count="179">
    <mergeCell ref="B7:L7"/>
    <mergeCell ref="M7:O7"/>
    <mergeCell ref="B8:L8"/>
    <mergeCell ref="M8:O8"/>
    <mergeCell ref="B9:L9"/>
    <mergeCell ref="M9:O9"/>
    <mergeCell ref="A1:W2"/>
    <mergeCell ref="B3:O3"/>
    <mergeCell ref="B4:O4"/>
    <mergeCell ref="B5:O5"/>
    <mergeCell ref="B6:L6"/>
    <mergeCell ref="M6:O6"/>
    <mergeCell ref="B13:L13"/>
    <mergeCell ref="M13:O13"/>
    <mergeCell ref="B14:L14"/>
    <mergeCell ref="M14:O14"/>
    <mergeCell ref="B15:O15"/>
    <mergeCell ref="B16:L16"/>
    <mergeCell ref="M16:O16"/>
    <mergeCell ref="B10:L10"/>
    <mergeCell ref="M10:O10"/>
    <mergeCell ref="B11:L11"/>
    <mergeCell ref="M11:O11"/>
    <mergeCell ref="B12:L12"/>
    <mergeCell ref="M12:O12"/>
    <mergeCell ref="B19:C19"/>
    <mergeCell ref="D19:E19"/>
    <mergeCell ref="F19:G19"/>
    <mergeCell ref="H19:I19"/>
    <mergeCell ref="J19:K19"/>
    <mergeCell ref="L19:M19"/>
    <mergeCell ref="B17:L17"/>
    <mergeCell ref="M17:O17"/>
    <mergeCell ref="B18:C18"/>
    <mergeCell ref="D18:E18"/>
    <mergeCell ref="F18:G18"/>
    <mergeCell ref="H18:I18"/>
    <mergeCell ref="J18:K18"/>
    <mergeCell ref="L18:M18"/>
    <mergeCell ref="N18:O18"/>
    <mergeCell ref="N19:O19"/>
    <mergeCell ref="P19:R19"/>
    <mergeCell ref="D20:E20"/>
    <mergeCell ref="F20:G20"/>
    <mergeCell ref="H20:I20"/>
    <mergeCell ref="J20:K20"/>
    <mergeCell ref="L20:M20"/>
    <mergeCell ref="N20:O20"/>
    <mergeCell ref="P20:R32"/>
    <mergeCell ref="F22:G22"/>
    <mergeCell ref="L23:M23"/>
    <mergeCell ref="N23:O23"/>
    <mergeCell ref="D26:E26"/>
    <mergeCell ref="F26:G26"/>
    <mergeCell ref="H26:I26"/>
    <mergeCell ref="J26:K26"/>
    <mergeCell ref="L26:M26"/>
    <mergeCell ref="N26:O26"/>
    <mergeCell ref="D25:E25"/>
    <mergeCell ref="F25:G25"/>
    <mergeCell ref="H25:I25"/>
    <mergeCell ref="J25:K25"/>
    <mergeCell ref="L25:M25"/>
    <mergeCell ref="N25:O25"/>
    <mergeCell ref="D28:E28"/>
    <mergeCell ref="S20:T20"/>
    <mergeCell ref="U20:V24"/>
    <mergeCell ref="A21:A32"/>
    <mergeCell ref="D21:E21"/>
    <mergeCell ref="F21:G21"/>
    <mergeCell ref="H21:I21"/>
    <mergeCell ref="J21:K21"/>
    <mergeCell ref="L21:M21"/>
    <mergeCell ref="N21:O21"/>
    <mergeCell ref="D22:E22"/>
    <mergeCell ref="D24:E24"/>
    <mergeCell ref="F24:G24"/>
    <mergeCell ref="H24:I24"/>
    <mergeCell ref="J24:K24"/>
    <mergeCell ref="L24:M24"/>
    <mergeCell ref="N24:O24"/>
    <mergeCell ref="H22:I22"/>
    <mergeCell ref="J22:K22"/>
    <mergeCell ref="L22:M22"/>
    <mergeCell ref="N22:O22"/>
    <mergeCell ref="D23:E23"/>
    <mergeCell ref="F23:G23"/>
    <mergeCell ref="H23:I23"/>
    <mergeCell ref="J23:K23"/>
    <mergeCell ref="F28:G28"/>
    <mergeCell ref="H28:I28"/>
    <mergeCell ref="J28:K28"/>
    <mergeCell ref="L28:M28"/>
    <mergeCell ref="N28:O28"/>
    <mergeCell ref="D27:E27"/>
    <mergeCell ref="F27:G27"/>
    <mergeCell ref="H27:I27"/>
    <mergeCell ref="J27:K27"/>
    <mergeCell ref="L27:M27"/>
    <mergeCell ref="N27:O27"/>
    <mergeCell ref="D30:E30"/>
    <mergeCell ref="F30:G30"/>
    <mergeCell ref="H30:I30"/>
    <mergeCell ref="J30:K30"/>
    <mergeCell ref="L30:M30"/>
    <mergeCell ref="N30:O30"/>
    <mergeCell ref="D29:E29"/>
    <mergeCell ref="F29:G29"/>
    <mergeCell ref="H29:I29"/>
    <mergeCell ref="J29:K29"/>
    <mergeCell ref="L29:M29"/>
    <mergeCell ref="N29:O29"/>
    <mergeCell ref="D32:E32"/>
    <mergeCell ref="F32:G32"/>
    <mergeCell ref="H32:I32"/>
    <mergeCell ref="J32:K32"/>
    <mergeCell ref="L32:M32"/>
    <mergeCell ref="N32:O32"/>
    <mergeCell ref="D31:E31"/>
    <mergeCell ref="F31:G31"/>
    <mergeCell ref="H31:I31"/>
    <mergeCell ref="J31:K31"/>
    <mergeCell ref="L31:M31"/>
    <mergeCell ref="N31:O31"/>
    <mergeCell ref="B38:L38"/>
    <mergeCell ref="M38:O38"/>
    <mergeCell ref="B39:L39"/>
    <mergeCell ref="M39:O39"/>
    <mergeCell ref="B40:L40"/>
    <mergeCell ref="M40:O40"/>
    <mergeCell ref="B33:O33"/>
    <mergeCell ref="B34:O34"/>
    <mergeCell ref="P34:R34"/>
    <mergeCell ref="B35:L35"/>
    <mergeCell ref="M35:O35"/>
    <mergeCell ref="P35:R44"/>
    <mergeCell ref="B36:L36"/>
    <mergeCell ref="M36:O36"/>
    <mergeCell ref="B37:L37"/>
    <mergeCell ref="M37:O37"/>
    <mergeCell ref="B44:L44"/>
    <mergeCell ref="M44:O44"/>
    <mergeCell ref="B45:O45"/>
    <mergeCell ref="B46:L46"/>
    <mergeCell ref="M46:O46"/>
    <mergeCell ref="B47:L47"/>
    <mergeCell ref="M47:O47"/>
    <mergeCell ref="B41:L41"/>
    <mergeCell ref="M41:O41"/>
    <mergeCell ref="B42:L42"/>
    <mergeCell ref="M42:O42"/>
    <mergeCell ref="B43:L43"/>
    <mergeCell ref="M43:O43"/>
    <mergeCell ref="B51:L51"/>
    <mergeCell ref="M51:O51"/>
    <mergeCell ref="B52:L52"/>
    <mergeCell ref="M52:O52"/>
    <mergeCell ref="B53:L53"/>
    <mergeCell ref="M53:O53"/>
    <mergeCell ref="B48:L48"/>
    <mergeCell ref="M48:O48"/>
    <mergeCell ref="B49:L49"/>
    <mergeCell ref="M49:O49"/>
    <mergeCell ref="B50:L50"/>
    <mergeCell ref="M50:O50"/>
    <mergeCell ref="B60:L60"/>
    <mergeCell ref="M60:O60"/>
    <mergeCell ref="B57:L57"/>
    <mergeCell ref="M57:O57"/>
    <mergeCell ref="B58:L58"/>
    <mergeCell ref="M58:O58"/>
    <mergeCell ref="B59:L59"/>
    <mergeCell ref="M59:O59"/>
    <mergeCell ref="B54:L54"/>
    <mergeCell ref="M54:O54"/>
    <mergeCell ref="B55:L55"/>
    <mergeCell ref="M55:O55"/>
    <mergeCell ref="B56:L56"/>
    <mergeCell ref="M56:O56"/>
  </mergeCell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10257B94-FB70-764C-ABFB-D4F01FB444B6}">
          <x14:formula1>
            <xm:f>'Dropdown inputs'!$E$2:$E$6</xm:f>
          </x14:formula1>
          <xm:sqref>C21:C32</xm:sqref>
        </x14:dataValidation>
        <x14:dataValidation type="list" allowBlank="1" showInputMessage="1" showErrorMessage="1" xr:uid="{6B44E392-A70D-F548-988A-63B10F3A47CA}">
          <x14:formula1>
            <xm:f>'Dropdown inputs'!$D$2:$D$4</xm:f>
          </x14:formula1>
          <xm:sqref>M59:O59</xm:sqref>
        </x14:dataValidation>
        <x14:dataValidation type="list" allowBlank="1" showInputMessage="1" showErrorMessage="1" xr:uid="{A818F064-8BD3-2A4E-9FAB-D6A6980CC652}">
          <x14:formula1>
            <xm:f>'Dropdown inputs'!$B$2:$B$4</xm:f>
          </x14:formula1>
          <xm:sqref>M36:O36 M43:O43 M40:O40 M10:O11 M13:O13 M51:O51</xm:sqref>
        </x14:dataValidation>
        <x14:dataValidation type="list" allowBlank="1" showInputMessage="1" showErrorMessage="1" xr:uid="{77C36502-614F-1747-84C7-35F316F28B66}">
          <x14:formula1>
            <xm:f>'Dropdown inputs'!$A$2:$A$31</xm:f>
          </x14:formula1>
          <xm:sqref>B21:B32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0CB8B-470A-564A-BFF5-0C04674369FD}">
  <sheetPr>
    <tabColor theme="5" tint="0.59999389629810485"/>
  </sheetPr>
  <dimension ref="A1:AE92"/>
  <sheetViews>
    <sheetView topLeftCell="A2" zoomScale="150" zoomScaleNormal="120" workbookViewId="0">
      <selection activeCell="B2" sqref="B2:D91"/>
    </sheetView>
  </sheetViews>
  <sheetFormatPr defaultColWidth="11" defaultRowHeight="15.6"/>
  <cols>
    <col min="1" max="1" width="3.5" style="12" customWidth="1"/>
    <col min="2" max="2" width="16.296875" style="12" customWidth="1"/>
    <col min="3" max="3" width="39.296875" style="12" customWidth="1"/>
    <col min="4" max="4" width="37.59765625" style="12" customWidth="1"/>
    <col min="5" max="5" width="20" style="26" customWidth="1"/>
    <col min="6" max="6" width="28.5" style="12" customWidth="1"/>
    <col min="7" max="16384" width="11" style="12"/>
  </cols>
  <sheetData>
    <row r="1" spans="1:31" ht="52.05" hidden="1" customHeight="1">
      <c r="A1" s="16"/>
      <c r="B1" s="310" t="s">
        <v>159</v>
      </c>
      <c r="C1" s="311"/>
      <c r="D1" s="311"/>
      <c r="E1" s="311"/>
      <c r="F1" s="13"/>
      <c r="H1" s="13"/>
      <c r="I1" s="13"/>
      <c r="J1" s="13"/>
      <c r="K1" s="13"/>
      <c r="L1" s="13"/>
      <c r="M1" s="13"/>
      <c r="N1" s="13"/>
      <c r="O1" s="13"/>
      <c r="P1" s="13"/>
      <c r="Q1" s="13"/>
      <c r="R1" s="13"/>
      <c r="S1" s="13"/>
      <c r="T1" s="13"/>
      <c r="U1" s="13"/>
      <c r="V1" s="13"/>
      <c r="W1" s="13"/>
      <c r="X1" s="13"/>
      <c r="Y1" s="13"/>
      <c r="Z1" s="13"/>
      <c r="AA1" s="13"/>
      <c r="AB1" s="13"/>
      <c r="AC1" s="13"/>
      <c r="AD1" s="13"/>
      <c r="AE1" s="13"/>
    </row>
    <row r="2" spans="1:31" ht="30" customHeight="1">
      <c r="A2" s="16"/>
      <c r="B2" s="304" t="s">
        <v>123</v>
      </c>
      <c r="C2" s="304"/>
      <c r="D2" s="304"/>
      <c r="E2" s="24" t="s">
        <v>139</v>
      </c>
      <c r="F2" s="13"/>
    </row>
    <row r="3" spans="1:31" ht="19.05" customHeight="1">
      <c r="A3" s="16"/>
      <c r="B3" s="308" t="s">
        <v>171</v>
      </c>
      <c r="C3" s="309"/>
      <c r="D3" s="309"/>
      <c r="E3" s="24" t="s">
        <v>35</v>
      </c>
      <c r="F3" s="13"/>
    </row>
    <row r="4" spans="1:31">
      <c r="A4" s="16"/>
      <c r="B4" s="18" t="s">
        <v>127</v>
      </c>
      <c r="C4" s="17" t="s">
        <v>172</v>
      </c>
      <c r="D4" s="17" t="s">
        <v>173</v>
      </c>
      <c r="E4" s="23" t="s">
        <v>158</v>
      </c>
      <c r="F4" s="13"/>
    </row>
    <row r="5" spans="1:31" ht="16.05" customHeight="1">
      <c r="A5" s="16"/>
      <c r="B5" s="15" t="s">
        <v>132</v>
      </c>
      <c r="C5" s="21" t="s">
        <v>125</v>
      </c>
      <c r="D5" s="22" t="s">
        <v>126</v>
      </c>
      <c r="E5" s="301" t="s">
        <v>174</v>
      </c>
      <c r="F5" s="13"/>
    </row>
    <row r="6" spans="1:31">
      <c r="A6" s="16"/>
      <c r="B6" s="15" t="s">
        <v>132</v>
      </c>
      <c r="C6" s="21" t="s">
        <v>125</v>
      </c>
      <c r="D6" s="22" t="s">
        <v>126</v>
      </c>
      <c r="E6" s="302"/>
      <c r="F6" s="13"/>
    </row>
    <row r="7" spans="1:31">
      <c r="A7" s="16"/>
      <c r="B7" s="15" t="s">
        <v>132</v>
      </c>
      <c r="C7" s="21" t="s">
        <v>125</v>
      </c>
      <c r="D7" s="22" t="s">
        <v>126</v>
      </c>
      <c r="E7" s="302"/>
      <c r="F7" s="13"/>
    </row>
    <row r="8" spans="1:31">
      <c r="A8" s="16"/>
      <c r="B8" s="15" t="s">
        <v>132</v>
      </c>
      <c r="C8" s="21" t="s">
        <v>125</v>
      </c>
      <c r="D8" s="22" t="s">
        <v>126</v>
      </c>
      <c r="E8" s="302"/>
      <c r="F8" s="13"/>
    </row>
    <row r="9" spans="1:31">
      <c r="A9" s="16"/>
      <c r="B9" s="15" t="s">
        <v>132</v>
      </c>
      <c r="C9" s="21" t="s">
        <v>125</v>
      </c>
      <c r="D9" s="22" t="s">
        <v>126</v>
      </c>
      <c r="E9" s="302"/>
      <c r="F9" s="13"/>
    </row>
    <row r="10" spans="1:31">
      <c r="A10" s="16"/>
      <c r="B10" s="15" t="s">
        <v>132</v>
      </c>
      <c r="C10" s="21" t="s">
        <v>125</v>
      </c>
      <c r="D10" s="22" t="s">
        <v>126</v>
      </c>
      <c r="E10" s="302"/>
      <c r="F10" s="13"/>
    </row>
    <row r="11" spans="1:31">
      <c r="A11" s="16"/>
      <c r="B11" s="15" t="s">
        <v>132</v>
      </c>
      <c r="C11" s="21" t="s">
        <v>125</v>
      </c>
      <c r="D11" s="22" t="s">
        <v>126</v>
      </c>
      <c r="E11" s="302"/>
      <c r="F11" s="13"/>
    </row>
    <row r="12" spans="1:31">
      <c r="A12" s="16"/>
      <c r="B12" s="15" t="s">
        <v>132</v>
      </c>
      <c r="C12" s="21" t="s">
        <v>125</v>
      </c>
      <c r="D12" s="22" t="s">
        <v>126</v>
      </c>
      <c r="E12" s="302"/>
      <c r="F12" s="13"/>
    </row>
    <row r="13" spans="1:31">
      <c r="A13" s="16"/>
      <c r="B13" s="15" t="s">
        <v>132</v>
      </c>
      <c r="C13" s="21" t="s">
        <v>125</v>
      </c>
      <c r="D13" s="22" t="s">
        <v>126</v>
      </c>
      <c r="E13" s="302"/>
      <c r="F13" s="13"/>
    </row>
    <row r="14" spans="1:31">
      <c r="A14" s="16"/>
      <c r="B14" s="15" t="s">
        <v>132</v>
      </c>
      <c r="C14" s="21" t="s">
        <v>125</v>
      </c>
      <c r="D14" s="22" t="s">
        <v>126</v>
      </c>
      <c r="E14" s="302"/>
      <c r="F14" s="13"/>
    </row>
    <row r="15" spans="1:31">
      <c r="A15" s="16"/>
      <c r="B15" s="15" t="s">
        <v>132</v>
      </c>
      <c r="C15" s="21" t="s">
        <v>125</v>
      </c>
      <c r="D15" s="22" t="s">
        <v>126</v>
      </c>
      <c r="E15" s="302"/>
      <c r="F15" s="13"/>
    </row>
    <row r="16" spans="1:31">
      <c r="A16" s="16"/>
      <c r="B16" s="15" t="s">
        <v>132</v>
      </c>
      <c r="C16" s="21" t="s">
        <v>125</v>
      </c>
      <c r="D16" s="22" t="s">
        <v>126</v>
      </c>
      <c r="E16" s="302"/>
      <c r="F16" s="13"/>
    </row>
    <row r="17" spans="1:6" ht="31.05" customHeight="1">
      <c r="A17" s="16"/>
      <c r="B17" s="304" t="s">
        <v>124</v>
      </c>
      <c r="C17" s="304"/>
      <c r="D17" s="304"/>
      <c r="E17" s="24" t="s">
        <v>139</v>
      </c>
      <c r="F17" s="13"/>
    </row>
    <row r="18" spans="1:6" ht="19.05" customHeight="1">
      <c r="A18" s="16"/>
      <c r="B18" s="308" t="s">
        <v>171</v>
      </c>
      <c r="C18" s="309"/>
      <c r="D18" s="309"/>
      <c r="E18" s="24" t="s">
        <v>35</v>
      </c>
      <c r="F18" s="13"/>
    </row>
    <row r="19" spans="1:6" ht="15" customHeight="1">
      <c r="A19" s="16"/>
      <c r="B19" s="18" t="s">
        <v>127</v>
      </c>
      <c r="C19" s="17" t="s">
        <v>151</v>
      </c>
      <c r="D19" s="17" t="s">
        <v>152</v>
      </c>
      <c r="E19" s="23" t="s">
        <v>158</v>
      </c>
      <c r="F19" s="13"/>
    </row>
    <row r="20" spans="1:6" ht="16.05" customHeight="1">
      <c r="A20" s="16"/>
      <c r="B20" s="15" t="s">
        <v>132</v>
      </c>
      <c r="C20" s="21" t="s">
        <v>125</v>
      </c>
      <c r="D20" s="22" t="s">
        <v>126</v>
      </c>
      <c r="E20" s="305" t="s">
        <v>174</v>
      </c>
      <c r="F20" s="13"/>
    </row>
    <row r="21" spans="1:6">
      <c r="A21" s="16"/>
      <c r="B21" s="15" t="s">
        <v>132</v>
      </c>
      <c r="C21" s="21" t="s">
        <v>125</v>
      </c>
      <c r="D21" s="22" t="s">
        <v>126</v>
      </c>
      <c r="E21" s="306"/>
      <c r="F21" s="13"/>
    </row>
    <row r="22" spans="1:6">
      <c r="A22" s="16"/>
      <c r="B22" s="15" t="s">
        <v>132</v>
      </c>
      <c r="C22" s="21" t="s">
        <v>125</v>
      </c>
      <c r="D22" s="22" t="s">
        <v>126</v>
      </c>
      <c r="E22" s="306"/>
      <c r="F22" s="13"/>
    </row>
    <row r="23" spans="1:6">
      <c r="A23" s="16"/>
      <c r="B23" s="15" t="s">
        <v>132</v>
      </c>
      <c r="C23" s="21" t="s">
        <v>125</v>
      </c>
      <c r="D23" s="22" t="s">
        <v>126</v>
      </c>
      <c r="E23" s="306"/>
      <c r="F23" s="13"/>
    </row>
    <row r="24" spans="1:6">
      <c r="A24" s="16"/>
      <c r="B24" s="15" t="s">
        <v>132</v>
      </c>
      <c r="C24" s="21" t="s">
        <v>125</v>
      </c>
      <c r="D24" s="22" t="s">
        <v>126</v>
      </c>
      <c r="E24" s="306"/>
      <c r="F24" s="13"/>
    </row>
    <row r="25" spans="1:6">
      <c r="A25" s="16"/>
      <c r="B25" s="15" t="s">
        <v>132</v>
      </c>
      <c r="C25" s="21" t="s">
        <v>125</v>
      </c>
      <c r="D25" s="22" t="s">
        <v>126</v>
      </c>
      <c r="E25" s="306"/>
      <c r="F25" s="13"/>
    </row>
    <row r="26" spans="1:6">
      <c r="A26" s="16"/>
      <c r="B26" s="15" t="s">
        <v>132</v>
      </c>
      <c r="C26" s="21" t="s">
        <v>125</v>
      </c>
      <c r="D26" s="22" t="s">
        <v>126</v>
      </c>
      <c r="E26" s="306"/>
      <c r="F26" s="13"/>
    </row>
    <row r="27" spans="1:6">
      <c r="A27" s="16"/>
      <c r="B27" s="15" t="s">
        <v>132</v>
      </c>
      <c r="C27" s="21" t="s">
        <v>125</v>
      </c>
      <c r="D27" s="22" t="s">
        <v>126</v>
      </c>
      <c r="E27" s="306"/>
      <c r="F27" s="13"/>
    </row>
    <row r="28" spans="1:6">
      <c r="A28" s="16"/>
      <c r="B28" s="15" t="s">
        <v>132</v>
      </c>
      <c r="C28" s="21" t="s">
        <v>125</v>
      </c>
      <c r="D28" s="22" t="s">
        <v>126</v>
      </c>
      <c r="E28" s="306"/>
      <c r="F28" s="13"/>
    </row>
    <row r="29" spans="1:6">
      <c r="A29" s="16"/>
      <c r="B29" s="15" t="s">
        <v>132</v>
      </c>
      <c r="C29" s="21" t="s">
        <v>125</v>
      </c>
      <c r="D29" s="22" t="s">
        <v>126</v>
      </c>
      <c r="E29" s="306"/>
      <c r="F29" s="13"/>
    </row>
    <row r="30" spans="1:6">
      <c r="A30" s="16"/>
      <c r="B30" s="15" t="s">
        <v>132</v>
      </c>
      <c r="C30" s="21" t="s">
        <v>125</v>
      </c>
      <c r="D30" s="22" t="s">
        <v>126</v>
      </c>
      <c r="E30" s="306"/>
      <c r="F30" s="13"/>
    </row>
    <row r="31" spans="1:6">
      <c r="A31" s="16"/>
      <c r="B31" s="15" t="s">
        <v>132</v>
      </c>
      <c r="C31" s="21" t="s">
        <v>125</v>
      </c>
      <c r="D31" s="22" t="s">
        <v>126</v>
      </c>
      <c r="E31" s="306"/>
      <c r="F31" s="13"/>
    </row>
    <row r="32" spans="1:6">
      <c r="A32" s="16"/>
      <c r="B32" s="15" t="s">
        <v>132</v>
      </c>
      <c r="C32" s="21" t="s">
        <v>125</v>
      </c>
      <c r="D32" s="22" t="s">
        <v>126</v>
      </c>
      <c r="E32" s="307"/>
      <c r="F32" s="13"/>
    </row>
    <row r="33" spans="1:6" ht="30" customHeight="1">
      <c r="A33" s="16"/>
      <c r="B33" s="303" t="s">
        <v>133</v>
      </c>
      <c r="C33" s="303"/>
      <c r="D33" s="303"/>
      <c r="E33" s="24" t="s">
        <v>139</v>
      </c>
      <c r="F33" s="13"/>
    </row>
    <row r="34" spans="1:6">
      <c r="A34" s="16"/>
      <c r="B34" s="18" t="s">
        <v>127</v>
      </c>
      <c r="C34" s="17" t="s">
        <v>151</v>
      </c>
      <c r="D34" s="17" t="s">
        <v>152</v>
      </c>
      <c r="E34" s="23" t="s">
        <v>158</v>
      </c>
      <c r="F34" s="13"/>
    </row>
    <row r="35" spans="1:6" ht="16.05" customHeight="1">
      <c r="A35" s="16"/>
      <c r="B35" s="19" t="s">
        <v>132</v>
      </c>
      <c r="C35" s="21" t="s">
        <v>125</v>
      </c>
      <c r="D35" s="22" t="s">
        <v>126</v>
      </c>
      <c r="E35" s="301" t="s">
        <v>174</v>
      </c>
      <c r="F35" s="13"/>
    </row>
    <row r="36" spans="1:6">
      <c r="A36" s="16"/>
      <c r="B36" s="19" t="s">
        <v>132</v>
      </c>
      <c r="C36" s="21" t="s">
        <v>125</v>
      </c>
      <c r="D36" s="22" t="s">
        <v>126</v>
      </c>
      <c r="E36" s="302"/>
      <c r="F36" s="13"/>
    </row>
    <row r="37" spans="1:6">
      <c r="A37" s="16"/>
      <c r="B37" s="19" t="s">
        <v>132</v>
      </c>
      <c r="C37" s="21" t="s">
        <v>125</v>
      </c>
      <c r="D37" s="22" t="s">
        <v>126</v>
      </c>
      <c r="E37" s="302"/>
      <c r="F37" s="13"/>
    </row>
    <row r="38" spans="1:6">
      <c r="A38" s="16"/>
      <c r="B38" s="19" t="s">
        <v>132</v>
      </c>
      <c r="C38" s="21" t="s">
        <v>125</v>
      </c>
      <c r="D38" s="22" t="s">
        <v>126</v>
      </c>
      <c r="E38" s="302"/>
      <c r="F38" s="13"/>
    </row>
    <row r="39" spans="1:6">
      <c r="A39" s="16"/>
      <c r="B39" s="19" t="s">
        <v>132</v>
      </c>
      <c r="C39" s="21" t="s">
        <v>125</v>
      </c>
      <c r="D39" s="22" t="s">
        <v>126</v>
      </c>
      <c r="E39" s="302"/>
      <c r="F39" s="13"/>
    </row>
    <row r="40" spans="1:6">
      <c r="A40" s="16"/>
      <c r="B40" s="19" t="s">
        <v>132</v>
      </c>
      <c r="C40" s="21" t="s">
        <v>125</v>
      </c>
      <c r="D40" s="22" t="s">
        <v>126</v>
      </c>
      <c r="E40" s="302"/>
      <c r="F40" s="13"/>
    </row>
    <row r="41" spans="1:6">
      <c r="A41" s="16"/>
      <c r="B41" s="19" t="s">
        <v>132</v>
      </c>
      <c r="C41" s="21" t="s">
        <v>125</v>
      </c>
      <c r="D41" s="22" t="s">
        <v>126</v>
      </c>
      <c r="E41" s="302"/>
      <c r="F41" s="13"/>
    </row>
    <row r="42" spans="1:6">
      <c r="A42" s="16"/>
      <c r="B42" s="19" t="s">
        <v>132</v>
      </c>
      <c r="C42" s="21" t="s">
        <v>125</v>
      </c>
      <c r="D42" s="22" t="s">
        <v>126</v>
      </c>
      <c r="E42" s="302"/>
      <c r="F42" s="13"/>
    </row>
    <row r="43" spans="1:6">
      <c r="A43" s="16"/>
      <c r="B43" s="19" t="s">
        <v>132</v>
      </c>
      <c r="C43" s="21" t="s">
        <v>125</v>
      </c>
      <c r="D43" s="22" t="s">
        <v>126</v>
      </c>
      <c r="E43" s="302"/>
      <c r="F43" s="13"/>
    </row>
    <row r="44" spans="1:6">
      <c r="A44" s="16"/>
      <c r="B44" s="19" t="s">
        <v>132</v>
      </c>
      <c r="C44" s="21" t="s">
        <v>125</v>
      </c>
      <c r="D44" s="22" t="s">
        <v>126</v>
      </c>
      <c r="E44" s="302"/>
      <c r="F44" s="13"/>
    </row>
    <row r="45" spans="1:6">
      <c r="A45" s="16"/>
      <c r="B45" s="19" t="s">
        <v>132</v>
      </c>
      <c r="C45" s="21" t="s">
        <v>125</v>
      </c>
      <c r="D45" s="22" t="s">
        <v>126</v>
      </c>
      <c r="E45" s="302"/>
      <c r="F45" s="13"/>
    </row>
    <row r="46" spans="1:6">
      <c r="A46" s="16"/>
      <c r="B46" s="19" t="s">
        <v>132</v>
      </c>
      <c r="C46" s="21" t="s">
        <v>125</v>
      </c>
      <c r="D46" s="22" t="s">
        <v>126</v>
      </c>
      <c r="E46" s="302"/>
      <c r="F46" s="13"/>
    </row>
    <row r="47" spans="1:6" ht="31.05" customHeight="1">
      <c r="A47" s="16"/>
      <c r="B47" s="304" t="s">
        <v>145</v>
      </c>
      <c r="C47" s="304"/>
      <c r="D47" s="304"/>
      <c r="E47" s="24" t="s">
        <v>139</v>
      </c>
      <c r="F47" s="13"/>
    </row>
    <row r="48" spans="1:6" ht="19.05" customHeight="1">
      <c r="A48" s="16"/>
      <c r="B48" s="308" t="s">
        <v>171</v>
      </c>
      <c r="C48" s="309"/>
      <c r="D48" s="309"/>
      <c r="E48" s="24" t="s">
        <v>35</v>
      </c>
      <c r="F48" s="13"/>
    </row>
    <row r="49" spans="1:6" ht="15" customHeight="1">
      <c r="A49" s="16"/>
      <c r="B49" s="18" t="s">
        <v>127</v>
      </c>
      <c r="C49" s="17" t="s">
        <v>151</v>
      </c>
      <c r="D49" s="17" t="s">
        <v>152</v>
      </c>
      <c r="E49" s="23" t="s">
        <v>158</v>
      </c>
      <c r="F49" s="13"/>
    </row>
    <row r="50" spans="1:6" ht="16.05" customHeight="1">
      <c r="A50" s="16"/>
      <c r="B50" s="15" t="s">
        <v>132</v>
      </c>
      <c r="C50" s="21" t="s">
        <v>125</v>
      </c>
      <c r="D50" s="22" t="s">
        <v>126</v>
      </c>
      <c r="E50" s="301" t="s">
        <v>174</v>
      </c>
      <c r="F50" s="13"/>
    </row>
    <row r="51" spans="1:6">
      <c r="A51" s="16"/>
      <c r="B51" s="15" t="s">
        <v>132</v>
      </c>
      <c r="C51" s="21" t="s">
        <v>125</v>
      </c>
      <c r="D51" s="22" t="s">
        <v>126</v>
      </c>
      <c r="E51" s="302"/>
      <c r="F51" s="13"/>
    </row>
    <row r="52" spans="1:6">
      <c r="A52" s="16"/>
      <c r="B52" s="15" t="s">
        <v>132</v>
      </c>
      <c r="C52" s="21" t="s">
        <v>125</v>
      </c>
      <c r="D52" s="22" t="s">
        <v>126</v>
      </c>
      <c r="E52" s="302"/>
      <c r="F52" s="13"/>
    </row>
    <row r="53" spans="1:6">
      <c r="A53" s="16"/>
      <c r="B53" s="15" t="s">
        <v>132</v>
      </c>
      <c r="C53" s="21" t="s">
        <v>125</v>
      </c>
      <c r="D53" s="22" t="s">
        <v>126</v>
      </c>
      <c r="E53" s="302"/>
      <c r="F53" s="13"/>
    </row>
    <row r="54" spans="1:6">
      <c r="A54" s="16"/>
      <c r="B54" s="15" t="s">
        <v>132</v>
      </c>
      <c r="C54" s="21" t="s">
        <v>125</v>
      </c>
      <c r="D54" s="22" t="s">
        <v>126</v>
      </c>
      <c r="E54" s="302"/>
      <c r="F54" s="13"/>
    </row>
    <row r="55" spans="1:6">
      <c r="A55" s="16"/>
      <c r="B55" s="15" t="s">
        <v>132</v>
      </c>
      <c r="C55" s="21" t="s">
        <v>125</v>
      </c>
      <c r="D55" s="22" t="s">
        <v>126</v>
      </c>
      <c r="E55" s="302"/>
      <c r="F55" s="13"/>
    </row>
    <row r="56" spans="1:6">
      <c r="A56" s="16"/>
      <c r="B56" s="15" t="s">
        <v>132</v>
      </c>
      <c r="C56" s="21" t="s">
        <v>125</v>
      </c>
      <c r="D56" s="22" t="s">
        <v>126</v>
      </c>
      <c r="E56" s="302"/>
      <c r="F56" s="13"/>
    </row>
    <row r="57" spans="1:6">
      <c r="A57" s="16"/>
      <c r="B57" s="15" t="s">
        <v>132</v>
      </c>
      <c r="C57" s="21" t="s">
        <v>125</v>
      </c>
      <c r="D57" s="22" t="s">
        <v>126</v>
      </c>
      <c r="E57" s="302"/>
      <c r="F57" s="13"/>
    </row>
    <row r="58" spans="1:6">
      <c r="A58" s="16"/>
      <c r="B58" s="15" t="s">
        <v>132</v>
      </c>
      <c r="C58" s="21" t="s">
        <v>125</v>
      </c>
      <c r="D58" s="22" t="s">
        <v>126</v>
      </c>
      <c r="E58" s="302"/>
      <c r="F58" s="13"/>
    </row>
    <row r="59" spans="1:6">
      <c r="A59" s="16"/>
      <c r="B59" s="15" t="s">
        <v>132</v>
      </c>
      <c r="C59" s="21" t="s">
        <v>125</v>
      </c>
      <c r="D59" s="22" t="s">
        <v>126</v>
      </c>
      <c r="E59" s="302"/>
      <c r="F59" s="13"/>
    </row>
    <row r="60" spans="1:6">
      <c r="A60" s="16"/>
      <c r="B60" s="15" t="s">
        <v>132</v>
      </c>
      <c r="C60" s="21" t="s">
        <v>125</v>
      </c>
      <c r="D60" s="22" t="s">
        <v>126</v>
      </c>
      <c r="E60" s="302"/>
      <c r="F60" s="13"/>
    </row>
    <row r="61" spans="1:6">
      <c r="A61" s="16"/>
      <c r="B61" s="15" t="s">
        <v>132</v>
      </c>
      <c r="C61" s="21" t="s">
        <v>125</v>
      </c>
      <c r="D61" s="22" t="s">
        <v>126</v>
      </c>
      <c r="E61" s="302"/>
      <c r="F61" s="13"/>
    </row>
    <row r="62" spans="1:6" ht="30" customHeight="1">
      <c r="A62" s="16"/>
      <c r="B62" s="303" t="s">
        <v>146</v>
      </c>
      <c r="C62" s="303"/>
      <c r="D62" s="303"/>
      <c r="E62" s="24" t="s">
        <v>139</v>
      </c>
      <c r="F62" s="13"/>
    </row>
    <row r="63" spans="1:6" ht="19.05" customHeight="1">
      <c r="A63" s="16"/>
      <c r="B63" s="308" t="s">
        <v>171</v>
      </c>
      <c r="C63" s="309"/>
      <c r="D63" s="309"/>
      <c r="E63" s="24" t="s">
        <v>35</v>
      </c>
      <c r="F63" s="13"/>
    </row>
    <row r="64" spans="1:6">
      <c r="A64" s="16"/>
      <c r="B64" s="18" t="s">
        <v>127</v>
      </c>
      <c r="C64" s="17" t="s">
        <v>151</v>
      </c>
      <c r="D64" s="17" t="s">
        <v>152</v>
      </c>
      <c r="E64" s="23" t="s">
        <v>158</v>
      </c>
      <c r="F64" s="13"/>
    </row>
    <row r="65" spans="1:6" ht="16.05" customHeight="1">
      <c r="A65" s="16"/>
      <c r="B65" s="19" t="s">
        <v>132</v>
      </c>
      <c r="C65" s="21" t="s">
        <v>125</v>
      </c>
      <c r="D65" s="22" t="s">
        <v>126</v>
      </c>
      <c r="E65" s="301" t="s">
        <v>174</v>
      </c>
      <c r="F65" s="13"/>
    </row>
    <row r="66" spans="1:6">
      <c r="A66" s="16"/>
      <c r="B66" s="19" t="s">
        <v>132</v>
      </c>
      <c r="C66" s="21" t="s">
        <v>125</v>
      </c>
      <c r="D66" s="22" t="s">
        <v>126</v>
      </c>
      <c r="E66" s="302"/>
      <c r="F66" s="13"/>
    </row>
    <row r="67" spans="1:6">
      <c r="A67" s="16"/>
      <c r="B67" s="19" t="s">
        <v>132</v>
      </c>
      <c r="C67" s="21" t="s">
        <v>125</v>
      </c>
      <c r="D67" s="22" t="s">
        <v>126</v>
      </c>
      <c r="E67" s="302"/>
      <c r="F67" s="13"/>
    </row>
    <row r="68" spans="1:6">
      <c r="A68" s="16"/>
      <c r="B68" s="19" t="s">
        <v>132</v>
      </c>
      <c r="C68" s="21" t="s">
        <v>125</v>
      </c>
      <c r="D68" s="22" t="s">
        <v>126</v>
      </c>
      <c r="E68" s="302"/>
      <c r="F68" s="13"/>
    </row>
    <row r="69" spans="1:6">
      <c r="A69" s="16"/>
      <c r="B69" s="19" t="s">
        <v>132</v>
      </c>
      <c r="C69" s="21" t="s">
        <v>125</v>
      </c>
      <c r="D69" s="22" t="s">
        <v>126</v>
      </c>
      <c r="E69" s="302"/>
      <c r="F69" s="13"/>
    </row>
    <row r="70" spans="1:6">
      <c r="A70" s="16"/>
      <c r="B70" s="19" t="s">
        <v>132</v>
      </c>
      <c r="C70" s="21" t="s">
        <v>125</v>
      </c>
      <c r="D70" s="22" t="s">
        <v>126</v>
      </c>
      <c r="E70" s="302"/>
      <c r="F70" s="13"/>
    </row>
    <row r="71" spans="1:6">
      <c r="A71" s="16"/>
      <c r="B71" s="19" t="s">
        <v>132</v>
      </c>
      <c r="C71" s="21" t="s">
        <v>125</v>
      </c>
      <c r="D71" s="22" t="s">
        <v>126</v>
      </c>
      <c r="E71" s="302"/>
      <c r="F71" s="13"/>
    </row>
    <row r="72" spans="1:6">
      <c r="A72" s="16"/>
      <c r="B72" s="19" t="s">
        <v>132</v>
      </c>
      <c r="C72" s="21" t="s">
        <v>125</v>
      </c>
      <c r="D72" s="22" t="s">
        <v>126</v>
      </c>
      <c r="E72" s="302"/>
      <c r="F72" s="13"/>
    </row>
    <row r="73" spans="1:6">
      <c r="A73" s="16"/>
      <c r="B73" s="19" t="s">
        <v>132</v>
      </c>
      <c r="C73" s="21" t="s">
        <v>125</v>
      </c>
      <c r="D73" s="22" t="s">
        <v>126</v>
      </c>
      <c r="E73" s="302"/>
      <c r="F73" s="13"/>
    </row>
    <row r="74" spans="1:6">
      <c r="A74" s="16"/>
      <c r="B74" s="19" t="s">
        <v>132</v>
      </c>
      <c r="C74" s="21" t="s">
        <v>125</v>
      </c>
      <c r="D74" s="22" t="s">
        <v>126</v>
      </c>
      <c r="E74" s="302"/>
      <c r="F74" s="13"/>
    </row>
    <row r="75" spans="1:6">
      <c r="A75" s="16"/>
      <c r="B75" s="19" t="s">
        <v>132</v>
      </c>
      <c r="C75" s="21" t="s">
        <v>125</v>
      </c>
      <c r="D75" s="22" t="s">
        <v>126</v>
      </c>
      <c r="E75" s="302"/>
      <c r="F75" s="13"/>
    </row>
    <row r="76" spans="1:6">
      <c r="A76" s="16"/>
      <c r="B76" s="19" t="s">
        <v>132</v>
      </c>
      <c r="C76" s="21" t="s">
        <v>125</v>
      </c>
      <c r="D76" s="22" t="s">
        <v>126</v>
      </c>
      <c r="E76" s="302"/>
      <c r="F76" s="13"/>
    </row>
    <row r="77" spans="1:6" ht="31.05" customHeight="1">
      <c r="A77" s="16"/>
      <c r="B77" s="303" t="s">
        <v>134</v>
      </c>
      <c r="C77" s="303"/>
      <c r="D77" s="303"/>
      <c r="E77" s="24" t="s">
        <v>139</v>
      </c>
      <c r="F77" s="13"/>
    </row>
    <row r="78" spans="1:6" ht="19.05" customHeight="1">
      <c r="A78" s="16"/>
      <c r="B78" s="308" t="s">
        <v>171</v>
      </c>
      <c r="C78" s="309"/>
      <c r="D78" s="309"/>
      <c r="E78" s="24" t="s">
        <v>35</v>
      </c>
      <c r="F78" s="13"/>
    </row>
    <row r="79" spans="1:6">
      <c r="A79" s="16"/>
      <c r="B79" s="18" t="s">
        <v>127</v>
      </c>
      <c r="C79" s="17" t="s">
        <v>151</v>
      </c>
      <c r="D79" s="17" t="s">
        <v>152</v>
      </c>
      <c r="E79" s="23" t="s">
        <v>158</v>
      </c>
      <c r="F79" s="13"/>
    </row>
    <row r="80" spans="1:6" ht="16.05" customHeight="1">
      <c r="A80" s="16"/>
      <c r="B80" s="19" t="s">
        <v>132</v>
      </c>
      <c r="C80" s="21" t="s">
        <v>125</v>
      </c>
      <c r="D80" s="22" t="s">
        <v>126</v>
      </c>
      <c r="E80" s="301" t="s">
        <v>174</v>
      </c>
      <c r="F80" s="13"/>
    </row>
    <row r="81" spans="1:6">
      <c r="A81" s="16"/>
      <c r="B81" s="19" t="s">
        <v>132</v>
      </c>
      <c r="C81" s="21" t="s">
        <v>125</v>
      </c>
      <c r="D81" s="22" t="s">
        <v>126</v>
      </c>
      <c r="E81" s="302"/>
      <c r="F81" s="13"/>
    </row>
    <row r="82" spans="1:6">
      <c r="A82" s="16"/>
      <c r="B82" s="19" t="s">
        <v>132</v>
      </c>
      <c r="C82" s="21" t="s">
        <v>125</v>
      </c>
      <c r="D82" s="22" t="s">
        <v>126</v>
      </c>
      <c r="E82" s="302"/>
      <c r="F82" s="13"/>
    </row>
    <row r="83" spans="1:6">
      <c r="A83" s="16"/>
      <c r="B83" s="19" t="s">
        <v>132</v>
      </c>
      <c r="C83" s="21" t="s">
        <v>125</v>
      </c>
      <c r="D83" s="22" t="s">
        <v>126</v>
      </c>
      <c r="E83" s="302"/>
      <c r="F83" s="13"/>
    </row>
    <row r="84" spans="1:6">
      <c r="A84" s="16"/>
      <c r="B84" s="19" t="s">
        <v>132</v>
      </c>
      <c r="C84" s="21" t="s">
        <v>125</v>
      </c>
      <c r="D84" s="22" t="s">
        <v>126</v>
      </c>
      <c r="E84" s="302"/>
      <c r="F84" s="13"/>
    </row>
    <row r="85" spans="1:6">
      <c r="A85" s="16"/>
      <c r="B85" s="19" t="s">
        <v>132</v>
      </c>
      <c r="C85" s="21" t="s">
        <v>125</v>
      </c>
      <c r="D85" s="22" t="s">
        <v>126</v>
      </c>
      <c r="E85" s="302"/>
      <c r="F85" s="13"/>
    </row>
    <row r="86" spans="1:6">
      <c r="A86" s="16"/>
      <c r="B86" s="19" t="s">
        <v>132</v>
      </c>
      <c r="C86" s="21" t="s">
        <v>125</v>
      </c>
      <c r="D86" s="22" t="s">
        <v>126</v>
      </c>
      <c r="E86" s="302"/>
      <c r="F86" s="13"/>
    </row>
    <row r="87" spans="1:6">
      <c r="A87" s="16"/>
      <c r="B87" s="19" t="s">
        <v>132</v>
      </c>
      <c r="C87" s="21" t="s">
        <v>125</v>
      </c>
      <c r="D87" s="22" t="s">
        <v>126</v>
      </c>
      <c r="E87" s="302"/>
      <c r="F87" s="13"/>
    </row>
    <row r="88" spans="1:6">
      <c r="A88" s="16"/>
      <c r="B88" s="19" t="s">
        <v>132</v>
      </c>
      <c r="C88" s="21" t="s">
        <v>125</v>
      </c>
      <c r="D88" s="22" t="s">
        <v>126</v>
      </c>
      <c r="E88" s="302"/>
      <c r="F88" s="13"/>
    </row>
    <row r="89" spans="1:6">
      <c r="A89" s="16"/>
      <c r="B89" s="19" t="s">
        <v>132</v>
      </c>
      <c r="C89" s="21" t="s">
        <v>125</v>
      </c>
      <c r="D89" s="22" t="s">
        <v>126</v>
      </c>
      <c r="E89" s="302"/>
      <c r="F89" s="13"/>
    </row>
    <row r="90" spans="1:6">
      <c r="A90" s="16"/>
      <c r="B90" s="19" t="s">
        <v>132</v>
      </c>
      <c r="C90" s="21" t="s">
        <v>125</v>
      </c>
      <c r="D90" s="22" t="s">
        <v>126</v>
      </c>
      <c r="E90" s="302"/>
      <c r="F90" s="13"/>
    </row>
    <row r="91" spans="1:6">
      <c r="A91" s="16"/>
      <c r="B91" s="19" t="s">
        <v>132</v>
      </c>
      <c r="C91" s="21" t="s">
        <v>125</v>
      </c>
      <c r="D91" s="22" t="s">
        <v>126</v>
      </c>
      <c r="E91" s="302"/>
      <c r="F91" s="13"/>
    </row>
    <row r="92" spans="1:6">
      <c r="A92" s="14"/>
      <c r="B92" s="14"/>
      <c r="C92" s="20"/>
      <c r="D92" s="20"/>
      <c r="E92" s="25"/>
    </row>
  </sheetData>
  <mergeCells count="18">
    <mergeCell ref="B1:E1"/>
    <mergeCell ref="E35:E46"/>
    <mergeCell ref="E65:E76"/>
    <mergeCell ref="B2:D2"/>
    <mergeCell ref="B3:D3"/>
    <mergeCell ref="E80:E91"/>
    <mergeCell ref="E5:E16"/>
    <mergeCell ref="B33:D33"/>
    <mergeCell ref="B77:D77"/>
    <mergeCell ref="B62:D62"/>
    <mergeCell ref="B17:D17"/>
    <mergeCell ref="B47:D47"/>
    <mergeCell ref="E50:E61"/>
    <mergeCell ref="E20:E32"/>
    <mergeCell ref="B18:D18"/>
    <mergeCell ref="B48:D48"/>
    <mergeCell ref="B63:D63"/>
    <mergeCell ref="B78:D78"/>
  </mergeCells>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84730663-C139-3649-B314-AD9FC9F9DF51}">
          <x14:formula1>
            <xm:f>'Dropdown inputs'!$A$2:$A$31</xm:f>
          </x14:formula1>
          <xm:sqref>B80:B91 B5:B16 B65:B76 B20:B32 B35:B46 B49:B61</xm:sqref>
        </x14:dataValidation>
        <x14:dataValidation type="list" allowBlank="1" showInputMessage="1" showErrorMessage="1" xr:uid="{6804EADE-2564-4E49-BB0B-D0C53A092D03}">
          <x14:formula1>
            <xm:f>'Dropdown inputs'!$B$8:$B$11</xm:f>
          </x14:formula1>
          <xm:sqref>E3</xm:sqref>
        </x14:dataValidation>
        <x14:dataValidation type="list" allowBlank="1" showInputMessage="1" showErrorMessage="1" xr:uid="{BB355091-9DC5-4847-BACA-784BAE670FB3}">
          <x14:formula1>
            <xm:f>'Dropdown inputs'!$F$8:$F$11</xm:f>
          </x14:formula1>
          <xm:sqref>E78</xm:sqref>
        </x14:dataValidation>
        <x14:dataValidation type="list" allowBlank="1" showInputMessage="1" showErrorMessage="1" xr:uid="{4B8E4BBE-070A-A140-A736-0E7155A717F6}">
          <x14:formula1>
            <xm:f>'Dropdown inputs'!$E$8:$E$11</xm:f>
          </x14:formula1>
          <xm:sqref>E63</xm:sqref>
        </x14:dataValidation>
        <x14:dataValidation type="list" allowBlank="1" showInputMessage="1" showErrorMessage="1" xr:uid="{CCED59AA-B9A9-5E42-8CA8-9C2CB799168F}">
          <x14:formula1>
            <xm:f>'Dropdown inputs'!$D$8:$D$11</xm:f>
          </x14:formula1>
          <xm:sqref>E48</xm:sqref>
        </x14:dataValidation>
        <x14:dataValidation type="list" allowBlank="1" showInputMessage="1" showErrorMessage="1" xr:uid="{1D1D30C4-C8DA-A945-A59F-94CB7F1D8A60}">
          <x14:formula1>
            <xm:f>'Dropdown inputs'!$C$8:$C$11</xm:f>
          </x14:formula1>
          <xm:sqref>E18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CA68D-04EB-C347-B16C-B7CE2C647B7D}">
  <dimension ref="A1:W65"/>
  <sheetViews>
    <sheetView showGridLines="0" zoomScale="80" zoomScaleNormal="80" workbookViewId="0">
      <selection activeCell="L4" sqref="L4:V4"/>
    </sheetView>
  </sheetViews>
  <sheetFormatPr defaultColWidth="11" defaultRowHeight="15" outlineLevelRow="1"/>
  <cols>
    <col min="1" max="1" width="15.5" style="33" customWidth="1"/>
    <col min="2" max="2" width="12.296875" style="33" customWidth="1"/>
    <col min="3" max="3" width="13" style="33" customWidth="1"/>
    <col min="4" max="4" width="8" style="33" customWidth="1"/>
    <col min="5" max="5" width="12.59765625" style="33" customWidth="1"/>
    <col min="6" max="6" width="17.09765625" style="33" customWidth="1"/>
    <col min="7" max="7" width="11.59765625" style="33" customWidth="1"/>
    <col min="8" max="8" width="7.59765625" style="33" customWidth="1"/>
    <col min="9" max="9" width="13.296875" style="33" customWidth="1"/>
    <col min="10" max="10" width="11" style="33"/>
    <col min="11" max="11" width="10" style="33" customWidth="1"/>
    <col min="12" max="12" width="8.59765625" style="33" customWidth="1"/>
    <col min="13" max="13" width="19.796875" style="33" customWidth="1"/>
    <col min="14" max="14" width="9.5" style="33" customWidth="1"/>
    <col min="15" max="15" width="14" style="33" customWidth="1"/>
    <col min="16" max="16" width="8.796875" style="33" customWidth="1"/>
    <col min="17" max="17" width="17.09765625" style="33" customWidth="1"/>
    <col min="18" max="18" width="11" style="33" customWidth="1"/>
    <col min="19" max="19" width="10.796875" style="33" customWidth="1"/>
    <col min="20" max="20" width="9" style="33" customWidth="1"/>
    <col min="21" max="21" width="10.5" style="33" customWidth="1"/>
    <col min="22" max="22" width="11.5" style="33" customWidth="1"/>
    <col min="23" max="23" width="21.09765625" style="33" customWidth="1"/>
    <col min="24" max="16384" width="11" style="33"/>
  </cols>
  <sheetData>
    <row r="1" spans="1:22" ht="27.3" customHeight="1">
      <c r="A1" s="354" t="s">
        <v>66</v>
      </c>
      <c r="B1" s="355"/>
      <c r="C1" s="355"/>
      <c r="D1" s="355"/>
      <c r="E1" s="355"/>
      <c r="F1" s="355"/>
      <c r="G1" s="355"/>
      <c r="H1" s="355"/>
      <c r="I1" s="355"/>
      <c r="J1" s="355"/>
      <c r="K1" s="355"/>
      <c r="L1" s="358" t="s">
        <v>178</v>
      </c>
      <c r="M1" s="358"/>
      <c r="N1" s="358"/>
      <c r="O1" s="358"/>
      <c r="P1" s="358"/>
      <c r="Q1" s="358"/>
      <c r="R1" s="358"/>
      <c r="S1" s="358"/>
      <c r="T1" s="358"/>
      <c r="U1" s="358"/>
      <c r="V1" s="358"/>
    </row>
    <row r="2" spans="1:22" ht="69" customHeight="1">
      <c r="A2" s="316" t="s">
        <v>227</v>
      </c>
      <c r="B2" s="317"/>
      <c r="C2" s="317"/>
      <c r="D2" s="317"/>
      <c r="E2" s="317"/>
      <c r="F2" s="317"/>
      <c r="G2" s="317"/>
      <c r="H2" s="317"/>
      <c r="I2" s="317"/>
      <c r="J2" s="317"/>
      <c r="K2" s="318"/>
      <c r="L2" s="347" t="s">
        <v>254</v>
      </c>
      <c r="M2" s="348"/>
      <c r="N2" s="348"/>
      <c r="O2" s="348"/>
      <c r="P2" s="348"/>
      <c r="Q2" s="348"/>
      <c r="R2" s="348"/>
      <c r="S2" s="348"/>
      <c r="T2" s="348"/>
      <c r="U2" s="348"/>
      <c r="V2" s="349"/>
    </row>
    <row r="3" spans="1:22" ht="45.75" customHeight="1">
      <c r="A3" s="316" t="s">
        <v>228</v>
      </c>
      <c r="B3" s="317"/>
      <c r="C3" s="317"/>
      <c r="D3" s="317"/>
      <c r="E3" s="317"/>
      <c r="F3" s="317"/>
      <c r="G3" s="317"/>
      <c r="H3" s="317"/>
      <c r="I3" s="317"/>
      <c r="J3" s="317"/>
      <c r="K3" s="318"/>
      <c r="L3" s="350" t="s">
        <v>248</v>
      </c>
      <c r="M3" s="350"/>
      <c r="N3" s="350"/>
      <c r="O3" s="350"/>
      <c r="P3" s="350"/>
      <c r="Q3" s="350"/>
      <c r="R3" s="350"/>
      <c r="S3" s="350"/>
      <c r="T3" s="350"/>
      <c r="U3" s="350"/>
      <c r="V3" s="350"/>
    </row>
    <row r="4" spans="1:22" ht="51" customHeight="1">
      <c r="A4" s="316" t="s">
        <v>221</v>
      </c>
      <c r="B4" s="317"/>
      <c r="C4" s="317"/>
      <c r="D4" s="317"/>
      <c r="E4" s="317"/>
      <c r="F4" s="317"/>
      <c r="G4" s="317"/>
      <c r="H4" s="317"/>
      <c r="I4" s="317"/>
      <c r="J4" s="317"/>
      <c r="K4" s="318"/>
      <c r="L4" s="350" t="s">
        <v>263</v>
      </c>
      <c r="M4" s="350"/>
      <c r="N4" s="350"/>
      <c r="O4" s="350"/>
      <c r="P4" s="350"/>
      <c r="Q4" s="350"/>
      <c r="R4" s="350"/>
      <c r="S4" s="350"/>
      <c r="T4" s="350"/>
      <c r="U4" s="350"/>
      <c r="V4" s="350"/>
    </row>
    <row r="5" spans="1:22" ht="33.299999999999997" customHeight="1">
      <c r="A5" s="316" t="s">
        <v>222</v>
      </c>
      <c r="B5" s="317"/>
      <c r="C5" s="317"/>
      <c r="D5" s="317"/>
      <c r="E5" s="317"/>
      <c r="F5" s="317"/>
      <c r="G5" s="317"/>
      <c r="H5" s="317"/>
      <c r="I5" s="317"/>
      <c r="J5" s="317"/>
      <c r="K5" s="318"/>
      <c r="L5" s="350" t="s">
        <v>249</v>
      </c>
      <c r="M5" s="350"/>
      <c r="N5" s="350"/>
      <c r="O5" s="350"/>
      <c r="P5" s="350"/>
      <c r="Q5" s="350"/>
      <c r="R5" s="350"/>
      <c r="S5" s="350"/>
      <c r="T5" s="350"/>
      <c r="U5" s="350"/>
      <c r="V5" s="350"/>
    </row>
    <row r="6" spans="1:22" ht="22.05" customHeight="1">
      <c r="A6" s="316" t="s">
        <v>216</v>
      </c>
      <c r="B6" s="317"/>
      <c r="C6" s="317"/>
      <c r="D6" s="317"/>
      <c r="E6" s="317"/>
      <c r="F6" s="317"/>
      <c r="G6" s="317"/>
      <c r="H6" s="317"/>
      <c r="I6" s="317"/>
      <c r="J6" s="317"/>
      <c r="K6" s="318"/>
      <c r="L6" s="350" t="s">
        <v>250</v>
      </c>
      <c r="M6" s="350"/>
      <c r="N6" s="350"/>
      <c r="O6" s="350"/>
      <c r="P6" s="350"/>
      <c r="Q6" s="350"/>
      <c r="R6" s="350"/>
      <c r="S6" s="350"/>
      <c r="T6" s="350"/>
      <c r="U6" s="350"/>
      <c r="V6" s="350"/>
    </row>
    <row r="7" spans="1:22" ht="42" customHeight="1">
      <c r="A7" s="316" t="s">
        <v>238</v>
      </c>
      <c r="B7" s="317"/>
      <c r="C7" s="317"/>
      <c r="D7" s="317"/>
      <c r="E7" s="317"/>
      <c r="F7" s="317"/>
      <c r="G7" s="317"/>
      <c r="H7" s="317"/>
      <c r="I7" s="317"/>
      <c r="J7" s="317"/>
      <c r="K7" s="318"/>
      <c r="L7" s="350" t="s">
        <v>251</v>
      </c>
      <c r="M7" s="350"/>
      <c r="N7" s="350"/>
      <c r="O7" s="350"/>
      <c r="P7" s="350"/>
      <c r="Q7" s="350"/>
      <c r="R7" s="350"/>
      <c r="S7" s="350"/>
      <c r="T7" s="350"/>
      <c r="U7" s="350"/>
      <c r="V7" s="350"/>
    </row>
    <row r="8" spans="1:22" ht="36" customHeight="1">
      <c r="A8" s="324" t="s">
        <v>209</v>
      </c>
      <c r="B8" s="324"/>
      <c r="C8" s="324"/>
      <c r="D8" s="324"/>
      <c r="E8" s="324"/>
      <c r="F8" s="324"/>
      <c r="G8" s="324"/>
      <c r="H8" s="324"/>
      <c r="I8" s="324"/>
      <c r="J8" s="324"/>
      <c r="K8" s="324"/>
      <c r="L8" s="350" t="s">
        <v>269</v>
      </c>
      <c r="M8" s="350"/>
      <c r="N8" s="350"/>
      <c r="O8" s="350"/>
      <c r="P8" s="350"/>
      <c r="Q8" s="350"/>
      <c r="R8" s="350"/>
      <c r="S8" s="350"/>
      <c r="T8" s="350"/>
      <c r="U8" s="350"/>
      <c r="V8" s="350"/>
    </row>
    <row r="9" spans="1:22" ht="19.05" customHeight="1">
      <c r="A9" s="362" t="s">
        <v>224</v>
      </c>
      <c r="B9" s="362"/>
      <c r="C9" s="362"/>
      <c r="D9" s="362"/>
      <c r="E9" s="362"/>
      <c r="F9" s="362"/>
      <c r="G9" s="362"/>
      <c r="H9" s="362"/>
      <c r="I9" s="362"/>
      <c r="J9" s="362"/>
      <c r="K9" s="362"/>
      <c r="L9" s="351">
        <v>0</v>
      </c>
      <c r="M9" s="351"/>
      <c r="N9" s="351"/>
      <c r="O9" s="351"/>
      <c r="P9" s="351"/>
      <c r="Q9" s="351"/>
      <c r="R9" s="351"/>
      <c r="S9" s="351"/>
      <c r="T9" s="351"/>
      <c r="U9" s="351"/>
      <c r="V9" s="351"/>
    </row>
    <row r="10" spans="1:22" ht="19.05" customHeight="1">
      <c r="A10" s="325" t="s">
        <v>180</v>
      </c>
      <c r="B10" s="325"/>
      <c r="C10" s="325"/>
      <c r="D10" s="325"/>
      <c r="E10" s="325"/>
      <c r="F10" s="325"/>
      <c r="G10" s="325"/>
      <c r="H10" s="325"/>
      <c r="I10" s="325"/>
      <c r="J10" s="325"/>
      <c r="K10" s="325"/>
      <c r="L10" s="351" t="s">
        <v>268</v>
      </c>
      <c r="M10" s="352"/>
      <c r="N10" s="352"/>
      <c r="O10" s="352"/>
      <c r="P10" s="352"/>
      <c r="Q10" s="352"/>
      <c r="R10" s="352"/>
      <c r="S10" s="352"/>
      <c r="T10" s="352"/>
      <c r="U10" s="352"/>
      <c r="V10" s="352"/>
    </row>
    <row r="11" spans="1:22" ht="20.100000000000001" customHeight="1">
      <c r="A11" s="40" t="s">
        <v>210</v>
      </c>
      <c r="B11" s="41"/>
      <c r="C11" s="41"/>
      <c r="D11" s="41"/>
      <c r="E11" s="41"/>
      <c r="F11" s="41"/>
      <c r="G11" s="41"/>
      <c r="H11" s="41"/>
      <c r="I11" s="41"/>
      <c r="J11" s="41"/>
      <c r="K11" s="42"/>
      <c r="L11" s="350" t="s">
        <v>252</v>
      </c>
      <c r="M11" s="350"/>
      <c r="N11" s="350"/>
      <c r="O11" s="350"/>
      <c r="P11" s="350"/>
      <c r="Q11" s="350"/>
      <c r="R11" s="350"/>
      <c r="S11" s="350"/>
      <c r="T11" s="350"/>
      <c r="U11" s="350"/>
      <c r="V11" s="350"/>
    </row>
    <row r="12" spans="1:22" ht="39" customHeight="1">
      <c r="A12" s="40" t="s">
        <v>217</v>
      </c>
      <c r="B12" s="41"/>
      <c r="C12" s="41"/>
      <c r="D12" s="41"/>
      <c r="E12" s="41"/>
      <c r="F12" s="41"/>
      <c r="G12" s="41"/>
      <c r="H12" s="41"/>
      <c r="I12" s="41"/>
      <c r="J12" s="41"/>
      <c r="K12" s="42"/>
      <c r="L12" s="350" t="s">
        <v>253</v>
      </c>
      <c r="M12" s="350"/>
      <c r="N12" s="350"/>
      <c r="O12" s="350"/>
      <c r="P12" s="350"/>
      <c r="Q12" s="350"/>
      <c r="R12" s="350"/>
      <c r="S12" s="350"/>
      <c r="T12" s="350"/>
      <c r="U12" s="350"/>
      <c r="V12" s="350"/>
    </row>
    <row r="13" spans="1:22" ht="78" customHeight="1">
      <c r="A13" s="359" t="s">
        <v>211</v>
      </c>
      <c r="B13" s="360"/>
      <c r="C13" s="360"/>
      <c r="D13" s="360"/>
      <c r="E13" s="360"/>
      <c r="F13" s="360"/>
      <c r="G13" s="360"/>
      <c r="H13" s="360"/>
      <c r="I13" s="360"/>
      <c r="J13" s="360"/>
      <c r="K13" s="361"/>
      <c r="L13" s="350" t="s">
        <v>352</v>
      </c>
      <c r="M13" s="350"/>
      <c r="N13" s="350"/>
      <c r="O13" s="350"/>
      <c r="P13" s="350"/>
      <c r="Q13" s="350"/>
      <c r="R13" s="350"/>
      <c r="S13" s="350"/>
      <c r="T13" s="350"/>
      <c r="U13" s="350"/>
      <c r="V13" s="350"/>
    </row>
    <row r="14" spans="1:22" ht="51.6" customHeight="1">
      <c r="A14" s="319" t="s">
        <v>229</v>
      </c>
      <c r="B14" s="320"/>
      <c r="C14" s="320"/>
      <c r="D14" s="320"/>
      <c r="E14" s="320"/>
      <c r="F14" s="320"/>
      <c r="G14" s="320"/>
      <c r="H14" s="320"/>
      <c r="I14" s="320"/>
      <c r="J14" s="320"/>
      <c r="K14" s="320"/>
      <c r="L14" s="350" t="s">
        <v>252</v>
      </c>
      <c r="M14" s="350"/>
      <c r="N14" s="350"/>
      <c r="O14" s="350"/>
      <c r="P14" s="350"/>
      <c r="Q14" s="350"/>
      <c r="R14" s="350"/>
      <c r="S14" s="350"/>
      <c r="T14" s="350"/>
      <c r="U14" s="350"/>
      <c r="V14" s="350"/>
    </row>
    <row r="15" spans="1:22" ht="16.05" customHeight="1">
      <c r="A15" s="43"/>
      <c r="B15" s="43"/>
      <c r="C15" s="43"/>
      <c r="D15" s="43"/>
      <c r="E15" s="43"/>
      <c r="F15" s="43"/>
      <c r="G15" s="43"/>
      <c r="H15" s="43"/>
      <c r="I15" s="43"/>
      <c r="J15" s="43"/>
      <c r="K15" s="43"/>
      <c r="L15" s="44"/>
      <c r="M15" s="44"/>
      <c r="N15" s="44"/>
    </row>
    <row r="16" spans="1:22" ht="40.049999999999997" customHeight="1">
      <c r="A16" s="313" t="s">
        <v>181</v>
      </c>
      <c r="B16" s="314"/>
      <c r="C16" s="314"/>
      <c r="D16" s="314"/>
      <c r="E16" s="314"/>
      <c r="F16" s="314"/>
      <c r="G16" s="314"/>
      <c r="H16" s="314"/>
      <c r="I16" s="314"/>
      <c r="J16" s="314"/>
      <c r="K16" s="314"/>
      <c r="L16" s="314"/>
      <c r="M16" s="314"/>
      <c r="N16" s="314"/>
      <c r="O16" s="314"/>
      <c r="P16" s="315"/>
      <c r="Q16" s="45"/>
      <c r="R16" s="45"/>
      <c r="S16" s="45"/>
      <c r="T16" s="45"/>
      <c r="U16" s="45"/>
    </row>
    <row r="17" spans="1:22" ht="37.049999999999997" customHeight="1">
      <c r="A17" s="46"/>
      <c r="B17" s="363" t="s">
        <v>150</v>
      </c>
      <c r="C17" s="363"/>
      <c r="D17" s="323" t="s">
        <v>153</v>
      </c>
      <c r="E17" s="323"/>
      <c r="F17" s="323" t="s">
        <v>155</v>
      </c>
      <c r="G17" s="323"/>
      <c r="H17" s="323" t="s">
        <v>156</v>
      </c>
      <c r="I17" s="323"/>
      <c r="J17" s="323" t="s">
        <v>175</v>
      </c>
      <c r="K17" s="323"/>
      <c r="L17" s="323" t="s">
        <v>157</v>
      </c>
      <c r="M17" s="327"/>
      <c r="N17" s="323" t="s">
        <v>154</v>
      </c>
      <c r="O17" s="323"/>
      <c r="P17" s="47" t="s">
        <v>131</v>
      </c>
      <c r="R17" s="354" t="s">
        <v>182</v>
      </c>
      <c r="S17" s="355"/>
      <c r="T17" s="355"/>
      <c r="U17" s="355"/>
      <c r="V17" s="357"/>
    </row>
    <row r="18" spans="1:22" ht="28.05" customHeight="1">
      <c r="A18" s="48" t="s">
        <v>128</v>
      </c>
      <c r="B18" s="321">
        <v>0.3</v>
      </c>
      <c r="C18" s="322"/>
      <c r="D18" s="321">
        <v>0.7</v>
      </c>
      <c r="E18" s="322"/>
      <c r="F18" s="326">
        <v>0</v>
      </c>
      <c r="G18" s="326"/>
      <c r="H18" s="326">
        <v>0</v>
      </c>
      <c r="I18" s="326"/>
      <c r="J18" s="326"/>
      <c r="K18" s="326"/>
      <c r="L18" s="326"/>
      <c r="M18" s="326"/>
      <c r="N18" s="326"/>
      <c r="O18" s="326"/>
      <c r="P18" s="49">
        <v>1</v>
      </c>
      <c r="R18" s="50" t="s">
        <v>85</v>
      </c>
      <c r="S18" s="51" t="s">
        <v>86</v>
      </c>
      <c r="T18" s="51" t="s">
        <v>144</v>
      </c>
      <c r="U18" s="51" t="s">
        <v>87</v>
      </c>
      <c r="V18" s="51" t="s">
        <v>88</v>
      </c>
    </row>
    <row r="19" spans="1:22" ht="28.05" customHeight="1">
      <c r="A19" s="48" t="s">
        <v>129</v>
      </c>
      <c r="B19" s="321">
        <v>0.3</v>
      </c>
      <c r="C19" s="322"/>
      <c r="D19" s="321">
        <v>0.7</v>
      </c>
      <c r="E19" s="322"/>
      <c r="F19" s="326"/>
      <c r="G19" s="326"/>
      <c r="H19" s="326"/>
      <c r="I19" s="326"/>
      <c r="J19" s="326"/>
      <c r="K19" s="326"/>
      <c r="L19" s="326"/>
      <c r="M19" s="326"/>
      <c r="N19" s="326"/>
      <c r="O19" s="326"/>
      <c r="P19" s="49">
        <v>1</v>
      </c>
      <c r="R19" s="49"/>
      <c r="S19" s="49"/>
      <c r="T19" s="49"/>
      <c r="U19" s="49"/>
      <c r="V19" s="49"/>
    </row>
    <row r="20" spans="1:22" ht="43.5" customHeight="1">
      <c r="A20" s="52"/>
      <c r="B20" s="53"/>
      <c r="C20" s="53"/>
      <c r="D20" s="53"/>
      <c r="E20" s="53"/>
      <c r="F20" s="53"/>
      <c r="G20" s="53"/>
      <c r="H20" s="53"/>
      <c r="I20" s="53"/>
      <c r="J20" s="53"/>
      <c r="K20" s="53"/>
      <c r="L20" s="53"/>
      <c r="M20" s="53"/>
      <c r="N20" s="53"/>
      <c r="O20" s="53"/>
      <c r="P20" s="54"/>
      <c r="Q20" s="55"/>
      <c r="R20" s="356" t="s">
        <v>212</v>
      </c>
      <c r="S20" s="356"/>
      <c r="T20" s="356"/>
      <c r="U20" s="356"/>
      <c r="V20" s="356"/>
    </row>
    <row r="21" spans="1:22" ht="27.3" customHeight="1">
      <c r="A21" s="56"/>
      <c r="B21" s="56"/>
      <c r="C21" s="340" t="s">
        <v>188</v>
      </c>
      <c r="D21" s="341"/>
      <c r="E21" s="342"/>
      <c r="F21" s="340" t="s">
        <v>189</v>
      </c>
      <c r="G21" s="341"/>
      <c r="H21" s="342"/>
      <c r="I21" s="57"/>
      <c r="J21" s="57"/>
      <c r="K21" s="57"/>
      <c r="L21" s="57"/>
      <c r="M21" s="57"/>
      <c r="N21" s="57"/>
      <c r="Q21" s="353"/>
      <c r="R21" s="353"/>
      <c r="S21" s="353"/>
      <c r="T21" s="353"/>
      <c r="U21" s="353"/>
    </row>
    <row r="22" spans="1:22" ht="16.05" customHeight="1">
      <c r="A22" s="329" t="s">
        <v>15</v>
      </c>
      <c r="B22" s="330"/>
      <c r="C22" s="343">
        <v>1</v>
      </c>
      <c r="D22" s="344"/>
      <c r="E22" s="345"/>
      <c r="F22" s="343">
        <v>1</v>
      </c>
      <c r="G22" s="344"/>
      <c r="H22" s="345"/>
      <c r="I22" s="89" t="s">
        <v>277</v>
      </c>
      <c r="J22" s="58"/>
      <c r="K22" s="58"/>
      <c r="L22" s="58"/>
      <c r="M22" s="58"/>
      <c r="N22" s="58"/>
      <c r="Q22" s="353"/>
      <c r="R22" s="353"/>
      <c r="S22" s="353"/>
      <c r="T22" s="353"/>
      <c r="U22" s="353"/>
    </row>
    <row r="23" spans="1:22" ht="16.05" customHeight="1">
      <c r="A23" s="329" t="s">
        <v>24</v>
      </c>
      <c r="B23" s="330"/>
      <c r="C23" s="343">
        <v>1</v>
      </c>
      <c r="D23" s="344"/>
      <c r="E23" s="345"/>
      <c r="F23" s="343">
        <v>1</v>
      </c>
      <c r="G23" s="344"/>
      <c r="H23" s="345"/>
      <c r="I23" s="89" t="s">
        <v>278</v>
      </c>
      <c r="J23" s="58"/>
      <c r="K23" s="58"/>
      <c r="L23" s="58"/>
      <c r="M23" s="58"/>
      <c r="N23" s="58"/>
    </row>
    <row r="24" spans="1:22" ht="16.05" customHeight="1">
      <c r="A24" s="329" t="s">
        <v>132</v>
      </c>
      <c r="B24" s="330"/>
      <c r="C24" s="331"/>
      <c r="D24" s="332"/>
      <c r="E24" s="333"/>
      <c r="F24" s="331"/>
      <c r="G24" s="332"/>
      <c r="H24" s="333"/>
      <c r="I24" s="58"/>
      <c r="J24" s="58"/>
      <c r="K24" s="58"/>
      <c r="L24" s="58"/>
      <c r="M24" s="58"/>
      <c r="N24" s="58"/>
    </row>
    <row r="25" spans="1:22" ht="16.05" customHeight="1">
      <c r="A25" s="329" t="s">
        <v>132</v>
      </c>
      <c r="B25" s="330"/>
      <c r="C25" s="331"/>
      <c r="D25" s="332"/>
      <c r="E25" s="333"/>
      <c r="F25" s="331"/>
      <c r="G25" s="332"/>
      <c r="H25" s="333"/>
      <c r="I25" s="58"/>
      <c r="J25" s="58"/>
      <c r="K25" s="58"/>
      <c r="L25" s="58"/>
      <c r="M25" s="58"/>
      <c r="N25" s="58"/>
    </row>
    <row r="26" spans="1:22" ht="16.05" customHeight="1">
      <c r="A26" s="329" t="s">
        <v>132</v>
      </c>
      <c r="B26" s="330"/>
      <c r="C26" s="331"/>
      <c r="D26" s="332"/>
      <c r="E26" s="333"/>
      <c r="F26" s="331"/>
      <c r="G26" s="332"/>
      <c r="H26" s="333"/>
      <c r="I26" s="58"/>
      <c r="J26" s="58"/>
      <c r="K26" s="58"/>
      <c r="L26" s="58"/>
      <c r="M26" s="58"/>
      <c r="N26" s="58"/>
    </row>
    <row r="27" spans="1:22" ht="16.05" customHeight="1">
      <c r="A27" s="329" t="s">
        <v>132</v>
      </c>
      <c r="B27" s="330"/>
      <c r="C27" s="59"/>
      <c r="D27" s="60"/>
      <c r="E27" s="61"/>
      <c r="F27" s="59"/>
      <c r="G27" s="60"/>
      <c r="H27" s="61"/>
      <c r="I27" s="58"/>
      <c r="J27" s="58"/>
      <c r="K27" s="58"/>
      <c r="L27" s="58"/>
      <c r="M27" s="58"/>
      <c r="N27" s="58"/>
    </row>
    <row r="28" spans="1:22" ht="16.05" customHeight="1">
      <c r="A28" s="329" t="s">
        <v>132</v>
      </c>
      <c r="B28" s="330"/>
      <c r="C28" s="59"/>
      <c r="D28" s="60"/>
      <c r="E28" s="61"/>
      <c r="F28" s="59"/>
      <c r="G28" s="60"/>
      <c r="H28" s="61"/>
      <c r="I28" s="58"/>
      <c r="J28" s="58"/>
      <c r="K28" s="58"/>
      <c r="L28" s="58"/>
      <c r="M28" s="58"/>
      <c r="N28" s="58"/>
    </row>
    <row r="29" spans="1:22" ht="16.05" customHeight="1">
      <c r="A29" s="329" t="s">
        <v>132</v>
      </c>
      <c r="B29" s="330"/>
      <c r="C29" s="59"/>
      <c r="D29" s="60"/>
      <c r="E29" s="61"/>
      <c r="F29" s="59"/>
      <c r="G29" s="60"/>
      <c r="H29" s="61"/>
      <c r="I29" s="58"/>
      <c r="J29" s="58"/>
      <c r="K29" s="58"/>
      <c r="L29" s="58"/>
      <c r="M29" s="58"/>
      <c r="N29" s="58"/>
    </row>
    <row r="30" spans="1:22" ht="16.05" customHeight="1">
      <c r="A30" s="329" t="s">
        <v>132</v>
      </c>
      <c r="B30" s="330"/>
      <c r="C30" s="59"/>
      <c r="D30" s="60"/>
      <c r="E30" s="61"/>
      <c r="F30" s="59"/>
      <c r="G30" s="60"/>
      <c r="H30" s="61"/>
      <c r="I30" s="58"/>
      <c r="J30" s="58"/>
      <c r="K30" s="58"/>
      <c r="L30" s="58"/>
      <c r="M30" s="58"/>
      <c r="N30" s="58"/>
    </row>
    <row r="31" spans="1:22" ht="16.05" customHeight="1">
      <c r="A31" s="329" t="s">
        <v>132</v>
      </c>
      <c r="B31" s="330"/>
      <c r="C31" s="59"/>
      <c r="D31" s="60"/>
      <c r="E31" s="61"/>
      <c r="F31" s="59"/>
      <c r="G31" s="60"/>
      <c r="H31" s="61"/>
      <c r="I31" s="58"/>
      <c r="J31" s="58"/>
      <c r="K31" s="58"/>
      <c r="L31" s="58"/>
      <c r="M31" s="58"/>
      <c r="N31" s="58"/>
    </row>
    <row r="32" spans="1:22" ht="16.05" customHeight="1">
      <c r="A32" s="329" t="s">
        <v>132</v>
      </c>
      <c r="B32" s="330"/>
      <c r="C32" s="59"/>
      <c r="D32" s="60"/>
      <c r="E32" s="61"/>
      <c r="F32" s="59"/>
      <c r="G32" s="60"/>
      <c r="H32" s="61"/>
      <c r="I32" s="58"/>
      <c r="J32" s="58"/>
      <c r="K32" s="58"/>
      <c r="L32" s="58"/>
      <c r="M32" s="58"/>
      <c r="N32" s="58"/>
    </row>
    <row r="33" spans="1:23" ht="16.05" customHeight="1">
      <c r="A33" s="329" t="s">
        <v>132</v>
      </c>
      <c r="B33" s="330"/>
      <c r="C33" s="331"/>
      <c r="D33" s="332"/>
      <c r="E33" s="333"/>
      <c r="F33" s="331"/>
      <c r="G33" s="332"/>
      <c r="H33" s="333"/>
      <c r="I33" s="58"/>
      <c r="J33" s="58"/>
      <c r="K33" s="58"/>
      <c r="L33" s="58"/>
      <c r="M33" s="58"/>
      <c r="N33" s="58"/>
    </row>
    <row r="34" spans="1:23" ht="16.05" customHeight="1">
      <c r="A34" s="335" t="s">
        <v>131</v>
      </c>
      <c r="B34" s="336"/>
      <c r="C34" s="337">
        <v>1</v>
      </c>
      <c r="D34" s="338"/>
      <c r="E34" s="339"/>
      <c r="F34" s="337">
        <v>1</v>
      </c>
      <c r="G34" s="338"/>
      <c r="H34" s="339"/>
      <c r="I34" s="58"/>
      <c r="J34" s="58"/>
      <c r="K34" s="58"/>
      <c r="L34" s="58"/>
      <c r="M34" s="58"/>
      <c r="N34" s="58"/>
    </row>
    <row r="35" spans="1:23" ht="16.05" customHeight="1">
      <c r="A35" s="328" t="s">
        <v>190</v>
      </c>
      <c r="B35" s="328"/>
      <c r="C35" s="328"/>
      <c r="D35" s="328"/>
      <c r="E35" s="328"/>
      <c r="F35" s="328"/>
      <c r="G35" s="328"/>
      <c r="H35" s="328"/>
      <c r="I35" s="328"/>
      <c r="J35" s="328"/>
      <c r="K35" s="328"/>
      <c r="L35" s="328"/>
      <c r="M35" s="328"/>
      <c r="N35" s="328"/>
    </row>
    <row r="37" spans="1:23" ht="26.25" customHeight="1">
      <c r="A37" s="346" t="s">
        <v>195</v>
      </c>
      <c r="B37" s="346"/>
      <c r="C37" s="346"/>
      <c r="D37" s="346"/>
      <c r="E37" s="346"/>
      <c r="F37" s="346"/>
      <c r="G37" s="346"/>
      <c r="H37" s="346"/>
      <c r="I37" s="346"/>
      <c r="J37" s="346"/>
      <c r="K37" s="346"/>
      <c r="L37" s="346"/>
      <c r="M37" s="346"/>
      <c r="N37" s="346"/>
      <c r="O37" s="346"/>
      <c r="P37" s="346"/>
      <c r="Q37" s="346"/>
      <c r="R37" s="346"/>
      <c r="S37" s="346"/>
      <c r="T37" s="346"/>
      <c r="U37" s="346"/>
      <c r="V37" s="346"/>
      <c r="W37" s="346"/>
    </row>
    <row r="38" spans="1:23" ht="61.8" customHeight="1">
      <c r="A38" s="334" t="s">
        <v>231</v>
      </c>
      <c r="B38" s="334"/>
      <c r="C38" s="334"/>
      <c r="E38" s="334" t="s">
        <v>230</v>
      </c>
      <c r="F38" s="334"/>
      <c r="G38" s="334"/>
      <c r="I38" s="334" t="s">
        <v>232</v>
      </c>
      <c r="J38" s="334"/>
      <c r="K38" s="334"/>
      <c r="M38" s="334" t="s">
        <v>234</v>
      </c>
      <c r="N38" s="334"/>
      <c r="O38" s="334"/>
      <c r="Q38" s="334" t="s">
        <v>233</v>
      </c>
      <c r="R38" s="334"/>
      <c r="S38" s="334"/>
      <c r="U38" s="334" t="s">
        <v>235</v>
      </c>
      <c r="V38" s="334"/>
      <c r="W38" s="334"/>
    </row>
    <row r="39" spans="1:23" ht="47.25" customHeight="1">
      <c r="A39" s="312" t="s">
        <v>213</v>
      </c>
      <c r="B39" s="312"/>
      <c r="C39" s="85" t="s">
        <v>214</v>
      </c>
      <c r="D39" s="86"/>
      <c r="E39" s="312" t="s">
        <v>213</v>
      </c>
      <c r="F39" s="312"/>
      <c r="G39" s="85" t="s">
        <v>214</v>
      </c>
      <c r="H39" s="86"/>
      <c r="I39" s="312" t="s">
        <v>213</v>
      </c>
      <c r="J39" s="312"/>
      <c r="K39" s="85" t="s">
        <v>214</v>
      </c>
      <c r="L39" s="86"/>
      <c r="M39" s="312" t="s">
        <v>213</v>
      </c>
      <c r="N39" s="312"/>
      <c r="O39" s="85" t="s">
        <v>214</v>
      </c>
      <c r="P39" s="86"/>
      <c r="Q39" s="312" t="s">
        <v>213</v>
      </c>
      <c r="R39" s="312"/>
      <c r="S39" s="85" t="s">
        <v>214</v>
      </c>
      <c r="T39" s="86"/>
      <c r="U39" s="312" t="s">
        <v>213</v>
      </c>
      <c r="V39" s="312"/>
      <c r="W39" s="85" t="s">
        <v>214</v>
      </c>
    </row>
    <row r="40" spans="1:23" ht="41.25" customHeight="1">
      <c r="A40" s="62" t="s">
        <v>127</v>
      </c>
      <c r="B40" s="63" t="s">
        <v>191</v>
      </c>
      <c r="C40" s="63" t="s">
        <v>192</v>
      </c>
      <c r="D40" s="64"/>
      <c r="E40" s="62" t="s">
        <v>127</v>
      </c>
      <c r="F40" s="63" t="s">
        <v>191</v>
      </c>
      <c r="G40" s="63" t="s">
        <v>192</v>
      </c>
      <c r="I40" s="62" t="s">
        <v>127</v>
      </c>
      <c r="J40" s="63" t="s">
        <v>191</v>
      </c>
      <c r="K40" s="63" t="s">
        <v>192</v>
      </c>
      <c r="M40" s="62" t="s">
        <v>127</v>
      </c>
      <c r="N40" s="63" t="s">
        <v>191</v>
      </c>
      <c r="O40" s="63" t="s">
        <v>192</v>
      </c>
      <c r="Q40" s="62" t="s">
        <v>127</v>
      </c>
      <c r="R40" s="63" t="s">
        <v>191</v>
      </c>
      <c r="S40" s="63" t="s">
        <v>192</v>
      </c>
      <c r="U40" s="62" t="s">
        <v>127</v>
      </c>
      <c r="V40" s="63" t="s">
        <v>191</v>
      </c>
      <c r="W40" s="63" t="s">
        <v>192</v>
      </c>
    </row>
    <row r="41" spans="1:23">
      <c r="A41" s="93" t="s">
        <v>15</v>
      </c>
      <c r="B41" s="162">
        <f>0.016109/7.08</f>
        <v>2.275282485875706E-3</v>
      </c>
      <c r="C41" s="94">
        <v>0.91100000000441983</v>
      </c>
      <c r="D41" s="64"/>
      <c r="E41" s="93" t="s">
        <v>15</v>
      </c>
      <c r="F41" s="162">
        <f>0.01190553/7.08</f>
        <v>1.6815720338983051E-3</v>
      </c>
      <c r="G41" s="94">
        <v>0.91100000000441983</v>
      </c>
      <c r="I41" s="65" t="s">
        <v>132</v>
      </c>
      <c r="J41" s="66" t="s">
        <v>193</v>
      </c>
      <c r="K41" s="67" t="s">
        <v>194</v>
      </c>
      <c r="M41" s="65" t="s">
        <v>132</v>
      </c>
      <c r="N41" s="66" t="s">
        <v>193</v>
      </c>
      <c r="O41" s="67" t="s">
        <v>194</v>
      </c>
      <c r="Q41" s="65" t="s">
        <v>132</v>
      </c>
      <c r="R41" s="66" t="s">
        <v>193</v>
      </c>
      <c r="S41" s="67" t="s">
        <v>194</v>
      </c>
      <c r="U41" s="65" t="s">
        <v>132</v>
      </c>
      <c r="V41" s="66" t="s">
        <v>193</v>
      </c>
      <c r="W41" s="67" t="s">
        <v>194</v>
      </c>
    </row>
    <row r="42" spans="1:23">
      <c r="A42" s="93" t="s">
        <v>24</v>
      </c>
      <c r="B42" s="162">
        <f>0.0169416/7.08</f>
        <v>2.3928813559322033E-3</v>
      </c>
      <c r="C42" s="94">
        <f>1-10.4%</f>
        <v>0.89600000000000002</v>
      </c>
      <c r="D42" s="64"/>
      <c r="E42" s="93" t="s">
        <v>24</v>
      </c>
      <c r="F42" s="162">
        <f>0.010712/7.08</f>
        <v>1.5129943502824857E-3</v>
      </c>
      <c r="G42" s="94">
        <f>1-10.4%</f>
        <v>0.89600000000000002</v>
      </c>
      <c r="I42" s="65" t="s">
        <v>132</v>
      </c>
      <c r="J42" s="66"/>
      <c r="K42" s="67"/>
      <c r="M42" s="65" t="s">
        <v>132</v>
      </c>
      <c r="N42" s="66"/>
      <c r="O42" s="67"/>
      <c r="Q42" s="65" t="s">
        <v>132</v>
      </c>
      <c r="R42" s="66"/>
      <c r="S42" s="67"/>
      <c r="U42" s="65" t="s">
        <v>132</v>
      </c>
      <c r="V42" s="66"/>
      <c r="W42" s="67"/>
    </row>
    <row r="43" spans="1:23">
      <c r="A43" s="65" t="s">
        <v>132</v>
      </c>
      <c r="B43" s="66"/>
      <c r="C43" s="67"/>
      <c r="D43" s="64"/>
      <c r="E43" s="65" t="s">
        <v>132</v>
      </c>
      <c r="F43" s="66"/>
      <c r="G43" s="67"/>
      <c r="I43" s="65" t="s">
        <v>132</v>
      </c>
      <c r="J43" s="66"/>
      <c r="K43" s="67"/>
      <c r="M43" s="65" t="s">
        <v>132</v>
      </c>
      <c r="N43" s="66"/>
      <c r="O43" s="67"/>
      <c r="Q43" s="65" t="s">
        <v>132</v>
      </c>
      <c r="R43" s="66"/>
      <c r="S43" s="67"/>
      <c r="U43" s="65" t="s">
        <v>132</v>
      </c>
      <c r="V43" s="66"/>
      <c r="W43" s="67"/>
    </row>
    <row r="44" spans="1:23">
      <c r="A44" s="65" t="s">
        <v>132</v>
      </c>
      <c r="B44" s="66"/>
      <c r="C44" s="67"/>
      <c r="D44" s="64"/>
      <c r="E44" s="65" t="s">
        <v>132</v>
      </c>
      <c r="F44" s="66"/>
      <c r="G44" s="67"/>
      <c r="I44" s="65" t="s">
        <v>132</v>
      </c>
      <c r="J44" s="66"/>
      <c r="K44" s="67"/>
      <c r="M44" s="65" t="s">
        <v>132</v>
      </c>
      <c r="N44" s="66"/>
      <c r="O44" s="67"/>
      <c r="Q44" s="65" t="s">
        <v>132</v>
      </c>
      <c r="R44" s="66"/>
      <c r="S44" s="67"/>
      <c r="U44" s="65" t="s">
        <v>132</v>
      </c>
      <c r="V44" s="66"/>
      <c r="W44" s="67"/>
    </row>
    <row r="45" spans="1:23">
      <c r="A45" s="65" t="s">
        <v>132</v>
      </c>
      <c r="B45" s="66"/>
      <c r="C45" s="67"/>
      <c r="D45" s="64"/>
      <c r="E45" s="65" t="s">
        <v>132</v>
      </c>
      <c r="F45" s="66"/>
      <c r="G45" s="67"/>
      <c r="I45" s="65" t="s">
        <v>132</v>
      </c>
      <c r="J45" s="66"/>
      <c r="K45" s="67"/>
      <c r="M45" s="65" t="s">
        <v>132</v>
      </c>
      <c r="N45" s="66"/>
      <c r="O45" s="67"/>
      <c r="Q45" s="65" t="s">
        <v>132</v>
      </c>
      <c r="R45" s="66"/>
      <c r="S45" s="67"/>
      <c r="U45" s="65" t="s">
        <v>132</v>
      </c>
      <c r="V45" s="66"/>
      <c r="W45" s="67"/>
    </row>
    <row r="46" spans="1:23">
      <c r="A46" s="65" t="s">
        <v>132</v>
      </c>
      <c r="B46" s="66"/>
      <c r="C46" s="67"/>
      <c r="D46" s="64"/>
      <c r="E46" s="65" t="s">
        <v>132</v>
      </c>
      <c r="F46" s="66"/>
      <c r="G46" s="67"/>
      <c r="I46" s="65" t="s">
        <v>132</v>
      </c>
      <c r="J46" s="66"/>
      <c r="K46" s="67"/>
      <c r="M46" s="65" t="s">
        <v>132</v>
      </c>
      <c r="N46" s="66"/>
      <c r="O46" s="67"/>
      <c r="Q46" s="65" t="s">
        <v>132</v>
      </c>
      <c r="R46" s="66"/>
      <c r="S46" s="67"/>
      <c r="U46" s="65" t="s">
        <v>132</v>
      </c>
      <c r="V46" s="66"/>
      <c r="W46" s="67"/>
    </row>
    <row r="47" spans="1:23">
      <c r="A47" s="65" t="s">
        <v>132</v>
      </c>
      <c r="B47" s="66"/>
      <c r="C47" s="67"/>
      <c r="D47" s="64"/>
      <c r="E47" s="65" t="s">
        <v>132</v>
      </c>
      <c r="F47" s="66"/>
      <c r="G47" s="67"/>
      <c r="I47" s="65" t="s">
        <v>132</v>
      </c>
      <c r="J47" s="66"/>
      <c r="K47" s="67"/>
      <c r="M47" s="65" t="s">
        <v>132</v>
      </c>
      <c r="N47" s="66"/>
      <c r="O47" s="67"/>
      <c r="Q47" s="65" t="s">
        <v>132</v>
      </c>
      <c r="R47" s="66"/>
      <c r="S47" s="67"/>
      <c r="U47" s="65" t="s">
        <v>132</v>
      </c>
      <c r="V47" s="66"/>
      <c r="W47" s="67"/>
    </row>
    <row r="48" spans="1:23">
      <c r="A48" s="65" t="s">
        <v>132</v>
      </c>
      <c r="B48" s="66"/>
      <c r="C48" s="67"/>
      <c r="D48" s="64"/>
      <c r="E48" s="65" t="s">
        <v>132</v>
      </c>
      <c r="F48" s="66"/>
      <c r="G48" s="67"/>
      <c r="I48" s="65" t="s">
        <v>132</v>
      </c>
      <c r="J48" s="66"/>
      <c r="K48" s="67"/>
      <c r="M48" s="65" t="s">
        <v>132</v>
      </c>
      <c r="N48" s="66"/>
      <c r="O48" s="67"/>
      <c r="Q48" s="65" t="s">
        <v>132</v>
      </c>
      <c r="R48" s="66"/>
      <c r="S48" s="67"/>
      <c r="U48" s="65" t="s">
        <v>132</v>
      </c>
      <c r="V48" s="66"/>
      <c r="W48" s="67"/>
    </row>
    <row r="49" spans="1:23">
      <c r="A49" s="65" t="s">
        <v>132</v>
      </c>
      <c r="B49" s="66"/>
      <c r="C49" s="67"/>
      <c r="D49" s="64"/>
      <c r="E49" s="65" t="s">
        <v>132</v>
      </c>
      <c r="F49" s="66"/>
      <c r="G49" s="67"/>
      <c r="I49" s="65" t="s">
        <v>132</v>
      </c>
      <c r="J49" s="66"/>
      <c r="K49" s="67"/>
      <c r="M49" s="65" t="s">
        <v>132</v>
      </c>
      <c r="N49" s="66"/>
      <c r="O49" s="67"/>
      <c r="Q49" s="65" t="s">
        <v>132</v>
      </c>
      <c r="R49" s="66"/>
      <c r="S49" s="67"/>
      <c r="U49" s="65" t="s">
        <v>132</v>
      </c>
      <c r="V49" s="66"/>
      <c r="W49" s="67"/>
    </row>
    <row r="50" spans="1:23">
      <c r="A50" s="65" t="s">
        <v>132</v>
      </c>
      <c r="B50" s="66"/>
      <c r="C50" s="67"/>
      <c r="D50" s="64"/>
      <c r="E50" s="65" t="s">
        <v>132</v>
      </c>
      <c r="F50" s="66"/>
      <c r="G50" s="67"/>
      <c r="I50" s="65" t="s">
        <v>132</v>
      </c>
      <c r="J50" s="66"/>
      <c r="K50" s="67"/>
      <c r="M50" s="65" t="s">
        <v>132</v>
      </c>
      <c r="N50" s="66"/>
      <c r="O50" s="67"/>
      <c r="Q50" s="65" t="s">
        <v>132</v>
      </c>
      <c r="R50" s="66"/>
      <c r="S50" s="67"/>
      <c r="U50" s="65" t="s">
        <v>132</v>
      </c>
      <c r="V50" s="66"/>
      <c r="W50" s="67"/>
    </row>
    <row r="51" spans="1:23">
      <c r="A51" s="65" t="s">
        <v>132</v>
      </c>
      <c r="B51" s="66"/>
      <c r="C51" s="67"/>
      <c r="D51" s="64"/>
      <c r="E51" s="65" t="s">
        <v>132</v>
      </c>
      <c r="F51" s="66"/>
      <c r="G51" s="67"/>
      <c r="I51" s="65" t="s">
        <v>132</v>
      </c>
      <c r="J51" s="66"/>
      <c r="K51" s="67"/>
      <c r="M51" s="65" t="s">
        <v>132</v>
      </c>
      <c r="N51" s="66"/>
      <c r="O51" s="67"/>
      <c r="Q51" s="65" t="s">
        <v>132</v>
      </c>
      <c r="R51" s="66"/>
      <c r="S51" s="67"/>
      <c r="U51" s="65" t="s">
        <v>132</v>
      </c>
      <c r="V51" s="66"/>
      <c r="W51" s="67"/>
    </row>
    <row r="52" spans="1:23" ht="16.05" customHeight="1">
      <c r="A52" s="65" t="s">
        <v>132</v>
      </c>
      <c r="B52" s="66"/>
      <c r="C52" s="67"/>
      <c r="D52" s="64"/>
      <c r="E52" s="65" t="s">
        <v>132</v>
      </c>
      <c r="F52" s="66"/>
      <c r="G52" s="67"/>
      <c r="I52" s="65" t="s">
        <v>132</v>
      </c>
      <c r="J52" s="66"/>
      <c r="K52" s="67"/>
      <c r="M52" s="65" t="s">
        <v>132</v>
      </c>
      <c r="N52" s="66"/>
      <c r="O52" s="67"/>
      <c r="Q52" s="65" t="s">
        <v>132</v>
      </c>
      <c r="R52" s="66"/>
      <c r="S52" s="67"/>
      <c r="U52" s="65" t="s">
        <v>132</v>
      </c>
      <c r="V52" s="66"/>
      <c r="W52" s="67"/>
    </row>
    <row r="53" spans="1:23" ht="16.05" customHeight="1"/>
    <row r="54" spans="1:23" ht="35.25" hidden="1" customHeight="1" outlineLevel="1">
      <c r="A54" s="33" t="s">
        <v>24</v>
      </c>
      <c r="B54" s="33">
        <v>0.16289999999999999</v>
      </c>
      <c r="E54" s="33" t="s">
        <v>24</v>
      </c>
      <c r="F54" s="33">
        <v>0.10300289999999999</v>
      </c>
    </row>
    <row r="55" spans="1:23" ht="49.05" hidden="1" customHeight="1" outlineLevel="1">
      <c r="A55" s="33" t="s">
        <v>274</v>
      </c>
      <c r="B55" s="33">
        <f>B54/7.2</f>
        <v>2.2624999999999999E-2</v>
      </c>
      <c r="F55" s="33">
        <f>F54/7.2</f>
        <v>1.4305958333333332E-2</v>
      </c>
    </row>
    <row r="56" spans="1:23" hidden="1" outlineLevel="1">
      <c r="B56" s="97">
        <f>1-B42/B55</f>
        <v>0.89423728813559322</v>
      </c>
    </row>
    <row r="57" spans="1:23" hidden="1" outlineLevel="1">
      <c r="A57" s="33" t="s">
        <v>15</v>
      </c>
      <c r="B57" s="33">
        <v>0.18099999999999999</v>
      </c>
      <c r="E57" s="33" t="s">
        <v>15</v>
      </c>
      <c r="F57" s="33">
        <v>0.13377</v>
      </c>
    </row>
    <row r="58" spans="1:23" hidden="1" outlineLevel="1">
      <c r="A58" s="33" t="s">
        <v>274</v>
      </c>
      <c r="B58" s="33">
        <f>B57/7.2</f>
        <v>2.5138888888888888E-2</v>
      </c>
      <c r="F58" s="33">
        <f>F57/7.2</f>
        <v>1.8579166666666667E-2</v>
      </c>
    </row>
    <row r="59" spans="1:23" ht="15" hidden="1" customHeight="1" outlineLevel="1">
      <c r="B59" s="98">
        <f>1-B41/B58</f>
        <v>0.9094915254237288</v>
      </c>
      <c r="F59" s="97">
        <f>1-F41/F58</f>
        <v>0.9094915254237288</v>
      </c>
    </row>
    <row r="60" spans="1:23" hidden="1" outlineLevel="1"/>
    <row r="61" spans="1:23" hidden="1" outlineLevel="1">
      <c r="A61" s="33" t="s">
        <v>276</v>
      </c>
      <c r="B61" s="33">
        <f>B41*0.3+F41*0.7</f>
        <v>1.8596851694915252E-3</v>
      </c>
    </row>
    <row r="62" spans="1:23" hidden="1" outlineLevel="1">
      <c r="A62" s="33" t="s">
        <v>275</v>
      </c>
      <c r="B62" s="33">
        <f>B42*0.3+F42*0.7</f>
        <v>1.776960451977401E-3</v>
      </c>
    </row>
    <row r="63" spans="1:23" hidden="1" outlineLevel="1"/>
    <row r="64" spans="1:23" hidden="1" outlineLevel="1">
      <c r="B64" s="161">
        <f>B41*0.3+F41*0.7</f>
        <v>1.8596851694915252E-3</v>
      </c>
    </row>
    <row r="65" collapsed="1"/>
  </sheetData>
  <mergeCells count="94">
    <mergeCell ref="Q21:U22"/>
    <mergeCell ref="F34:H34"/>
    <mergeCell ref="A1:K1"/>
    <mergeCell ref="R20:V20"/>
    <mergeCell ref="R17:V17"/>
    <mergeCell ref="A4:K4"/>
    <mergeCell ref="A2:K2"/>
    <mergeCell ref="L1:V1"/>
    <mergeCell ref="A6:K6"/>
    <mergeCell ref="A13:K13"/>
    <mergeCell ref="A9:K9"/>
    <mergeCell ref="B17:C17"/>
    <mergeCell ref="D17:E17"/>
    <mergeCell ref="J18:K18"/>
    <mergeCell ref="J19:K19"/>
    <mergeCell ref="L18:M18"/>
    <mergeCell ref="A37:W37"/>
    <mergeCell ref="L2:V2"/>
    <mergeCell ref="L3:V3"/>
    <mergeCell ref="L4:V4"/>
    <mergeCell ref="L5:V5"/>
    <mergeCell ref="L6:V6"/>
    <mergeCell ref="L7:V7"/>
    <mergeCell ref="L8:V8"/>
    <mergeCell ref="L9:V9"/>
    <mergeCell ref="L10:V10"/>
    <mergeCell ref="L11:V11"/>
    <mergeCell ref="L12:V12"/>
    <mergeCell ref="L13:V13"/>
    <mergeCell ref="L14:V14"/>
    <mergeCell ref="L19:M19"/>
    <mergeCell ref="N18:O18"/>
    <mergeCell ref="A30:B30"/>
    <mergeCell ref="A31:B31"/>
    <mergeCell ref="A32:B32"/>
    <mergeCell ref="A23:B23"/>
    <mergeCell ref="F21:H21"/>
    <mergeCell ref="C21:E21"/>
    <mergeCell ref="C25:E25"/>
    <mergeCell ref="C24:E24"/>
    <mergeCell ref="F25:H25"/>
    <mergeCell ref="F24:H24"/>
    <mergeCell ref="F23:H23"/>
    <mergeCell ref="F22:H22"/>
    <mergeCell ref="C23:E23"/>
    <mergeCell ref="C22:E22"/>
    <mergeCell ref="U38:W38"/>
    <mergeCell ref="A33:B33"/>
    <mergeCell ref="A34:B34"/>
    <mergeCell ref="A39:B39"/>
    <mergeCell ref="E39:F39"/>
    <mergeCell ref="M39:N39"/>
    <mergeCell ref="Q39:R39"/>
    <mergeCell ref="U39:V39"/>
    <mergeCell ref="F33:H33"/>
    <mergeCell ref="C33:E33"/>
    <mergeCell ref="C34:E34"/>
    <mergeCell ref="E38:G38"/>
    <mergeCell ref="A38:C38"/>
    <mergeCell ref="I38:K38"/>
    <mergeCell ref="M38:O38"/>
    <mergeCell ref="Q38:S38"/>
    <mergeCell ref="L17:M17"/>
    <mergeCell ref="N17:O17"/>
    <mergeCell ref="A35:N35"/>
    <mergeCell ref="A22:B22"/>
    <mergeCell ref="N19:O19"/>
    <mergeCell ref="A24:B24"/>
    <mergeCell ref="A25:B25"/>
    <mergeCell ref="F26:H26"/>
    <mergeCell ref="C26:E26"/>
    <mergeCell ref="A26:B26"/>
    <mergeCell ref="F19:G19"/>
    <mergeCell ref="H18:I18"/>
    <mergeCell ref="H19:I19"/>
    <mergeCell ref="A27:B27"/>
    <mergeCell ref="A28:B28"/>
    <mergeCell ref="A29:B29"/>
    <mergeCell ref="I39:J39"/>
    <mergeCell ref="A16:P16"/>
    <mergeCell ref="A3:K3"/>
    <mergeCell ref="A7:K7"/>
    <mergeCell ref="A5:K5"/>
    <mergeCell ref="A14:K14"/>
    <mergeCell ref="B18:C18"/>
    <mergeCell ref="H17:I17"/>
    <mergeCell ref="J17:K17"/>
    <mergeCell ref="A8:K8"/>
    <mergeCell ref="A10:K10"/>
    <mergeCell ref="B19:C19"/>
    <mergeCell ref="D18:E18"/>
    <mergeCell ref="D19:E19"/>
    <mergeCell ref="F18:G18"/>
    <mergeCell ref="F17:G17"/>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AF850002-72C5-4C06-A13E-EF80BC8CE776}">
          <x14:formula1>
            <xm:f>'Dropdown inputs'!$A$2:$A$32</xm:f>
          </x14:formula1>
          <xm:sqref>A22:B33 A41:A52 E41:E52 I41:I52 M41:M52 Q41:Q52 U41:U52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AFBB7-1077-4F92-9315-4C7F07501D90}">
  <dimension ref="A1:B15"/>
  <sheetViews>
    <sheetView showGridLines="0" topLeftCell="A2" zoomScale="80" zoomScaleNormal="80" workbookViewId="0">
      <selection activeCell="B15" sqref="B15"/>
    </sheetView>
  </sheetViews>
  <sheetFormatPr defaultColWidth="11" defaultRowHeight="15"/>
  <cols>
    <col min="1" max="1" width="93.796875" style="39" customWidth="1"/>
    <col min="2" max="2" width="91.59765625" style="33" customWidth="1"/>
    <col min="3" max="3" width="16" style="33" customWidth="1"/>
    <col min="4" max="16384" width="11" style="33"/>
  </cols>
  <sheetData>
    <row r="1" spans="1:2" ht="33" hidden="1" customHeight="1">
      <c r="A1" s="364"/>
      <c r="B1" s="364"/>
    </row>
    <row r="2" spans="1:2" ht="43.5" customHeight="1">
      <c r="A2" s="34" t="s">
        <v>66</v>
      </c>
      <c r="B2" s="35" t="s">
        <v>178</v>
      </c>
    </row>
    <row r="3" spans="1:2" ht="50.55" customHeight="1">
      <c r="A3" s="36" t="s">
        <v>53</v>
      </c>
      <c r="B3" s="96" t="s">
        <v>247</v>
      </c>
    </row>
    <row r="4" spans="1:2" ht="50.55" customHeight="1">
      <c r="A4" s="37" t="s">
        <v>202</v>
      </c>
      <c r="B4" s="96" t="s">
        <v>264</v>
      </c>
    </row>
    <row r="5" spans="1:2" ht="50.55" customHeight="1">
      <c r="A5" s="37" t="s">
        <v>237</v>
      </c>
      <c r="B5" s="96" t="s">
        <v>255</v>
      </c>
    </row>
    <row r="6" spans="1:2" ht="50.55" customHeight="1">
      <c r="A6" s="36" t="s">
        <v>203</v>
      </c>
      <c r="B6" s="96" t="s">
        <v>265</v>
      </c>
    </row>
    <row r="7" spans="1:2" ht="50.55" customHeight="1">
      <c r="A7" s="37" t="s">
        <v>206</v>
      </c>
      <c r="B7" s="96" t="s">
        <v>256</v>
      </c>
    </row>
    <row r="8" spans="1:2" ht="50.55" customHeight="1">
      <c r="A8" s="37" t="s">
        <v>236</v>
      </c>
      <c r="B8" s="96" t="s">
        <v>266</v>
      </c>
    </row>
    <row r="9" spans="1:2" ht="50.55" customHeight="1">
      <c r="A9" s="37" t="s">
        <v>204</v>
      </c>
      <c r="B9" s="96" t="s">
        <v>257</v>
      </c>
    </row>
    <row r="10" spans="1:2" ht="50.55" customHeight="1">
      <c r="A10" s="37" t="s">
        <v>208</v>
      </c>
      <c r="B10" s="96" t="s">
        <v>258</v>
      </c>
    </row>
    <row r="11" spans="1:2" ht="50.55" customHeight="1">
      <c r="A11" s="36" t="s">
        <v>205</v>
      </c>
      <c r="B11" s="96" t="s">
        <v>259</v>
      </c>
    </row>
    <row r="12" spans="1:2" ht="50.55" customHeight="1">
      <c r="A12" s="36" t="s">
        <v>207</v>
      </c>
      <c r="B12" s="96" t="s">
        <v>260</v>
      </c>
    </row>
    <row r="13" spans="1:2" ht="50.55" customHeight="1">
      <c r="A13" s="37" t="s">
        <v>239</v>
      </c>
      <c r="B13" s="96" t="s">
        <v>262</v>
      </c>
    </row>
    <row r="14" spans="1:2" ht="50.55" customHeight="1">
      <c r="A14" s="38" t="s">
        <v>240</v>
      </c>
      <c r="B14" s="96" t="s">
        <v>261</v>
      </c>
    </row>
    <row r="15" spans="1:2" ht="50.55" customHeight="1">
      <c r="A15" s="36" t="s">
        <v>215</v>
      </c>
      <c r="B15" s="96" t="s">
        <v>267</v>
      </c>
    </row>
  </sheetData>
  <mergeCells count="1">
    <mergeCell ref="A1:B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CA63F-A445-0E48-89DD-33A6093B1EEC}">
  <dimension ref="A1:T28"/>
  <sheetViews>
    <sheetView showGridLines="0" zoomScale="80" zoomScaleNormal="80" workbookViewId="0">
      <selection activeCell="L9" sqref="L9:N9"/>
    </sheetView>
  </sheetViews>
  <sheetFormatPr defaultColWidth="11" defaultRowHeight="15"/>
  <cols>
    <col min="1" max="1" width="2.59765625" style="32" customWidth="1"/>
    <col min="2" max="10" width="11" style="32"/>
    <col min="11" max="11" width="19.09765625" style="32" customWidth="1"/>
    <col min="12" max="16384" width="11" style="32"/>
  </cols>
  <sheetData>
    <row r="1" spans="1:20" s="33" customFormat="1">
      <c r="A1" s="370" t="s">
        <v>196</v>
      </c>
      <c r="B1" s="370"/>
      <c r="C1" s="370"/>
      <c r="D1" s="370"/>
      <c r="E1" s="370"/>
      <c r="F1" s="370"/>
      <c r="G1" s="370"/>
      <c r="H1" s="370"/>
      <c r="I1" s="370"/>
      <c r="J1" s="370"/>
      <c r="K1" s="370"/>
      <c r="L1" s="370"/>
      <c r="M1" s="370"/>
      <c r="N1" s="370"/>
    </row>
    <row r="2" spans="1:20" s="43" customFormat="1" ht="63.3" customHeight="1">
      <c r="A2" s="371" t="s">
        <v>218</v>
      </c>
      <c r="B2" s="372"/>
      <c r="C2" s="372"/>
      <c r="D2" s="372"/>
      <c r="E2" s="372"/>
      <c r="F2" s="372"/>
      <c r="G2" s="372"/>
      <c r="H2" s="372"/>
      <c r="I2" s="372"/>
      <c r="J2" s="372"/>
      <c r="K2" s="372"/>
      <c r="L2" s="373" t="s">
        <v>37</v>
      </c>
      <c r="M2" s="373"/>
      <c r="N2" s="373"/>
      <c r="O2" s="87"/>
      <c r="P2" s="88"/>
      <c r="Q2" s="88"/>
      <c r="R2" s="88"/>
      <c r="S2" s="88"/>
      <c r="T2" s="88"/>
    </row>
    <row r="3" spans="1:20" s="43" customFormat="1" ht="32.25" customHeight="1">
      <c r="A3" s="374" t="s">
        <v>220</v>
      </c>
      <c r="B3" s="375"/>
      <c r="C3" s="375"/>
      <c r="D3" s="375"/>
      <c r="E3" s="375"/>
      <c r="F3" s="375"/>
      <c r="G3" s="375"/>
      <c r="H3" s="375"/>
      <c r="I3" s="375"/>
      <c r="J3" s="375"/>
      <c r="K3" s="375"/>
      <c r="L3" s="375"/>
      <c r="M3" s="375"/>
      <c r="N3" s="376"/>
      <c r="O3" s="87"/>
      <c r="P3" s="88"/>
      <c r="Q3" s="88"/>
      <c r="R3" s="88"/>
      <c r="S3" s="88"/>
      <c r="T3" s="88"/>
    </row>
    <row r="4" spans="1:20" s="43" customFormat="1" ht="58.35" customHeight="1">
      <c r="A4" s="377" t="s">
        <v>198</v>
      </c>
      <c r="B4" s="377"/>
      <c r="C4" s="377"/>
      <c r="D4" s="377"/>
      <c r="E4" s="377"/>
      <c r="F4" s="377"/>
      <c r="G4" s="377"/>
      <c r="H4" s="377"/>
      <c r="I4" s="377"/>
      <c r="J4" s="377"/>
      <c r="K4" s="377"/>
      <c r="L4" s="377"/>
      <c r="M4" s="377"/>
      <c r="N4" s="377"/>
      <c r="O4" s="87"/>
      <c r="P4" s="88"/>
      <c r="Q4" s="88"/>
      <c r="R4" s="88"/>
      <c r="S4" s="88"/>
      <c r="T4" s="88"/>
    </row>
    <row r="5" spans="1:20" s="43" customFormat="1" ht="39.6" customHeight="1">
      <c r="A5" s="365" t="s">
        <v>130</v>
      </c>
      <c r="B5" s="366"/>
      <c r="C5" s="366"/>
      <c r="D5" s="366"/>
      <c r="E5" s="366"/>
      <c r="F5" s="366"/>
      <c r="G5" s="366"/>
      <c r="H5" s="366"/>
      <c r="I5" s="366"/>
      <c r="J5" s="366"/>
      <c r="K5" s="366"/>
      <c r="L5" s="325" t="s">
        <v>353</v>
      </c>
      <c r="M5" s="325"/>
      <c r="N5" s="325"/>
      <c r="O5" s="87"/>
      <c r="P5" s="88"/>
      <c r="Q5" s="88"/>
      <c r="R5" s="88"/>
      <c r="S5" s="88"/>
      <c r="T5" s="88"/>
    </row>
    <row r="6" spans="1:20" s="43" customFormat="1" ht="39.6" customHeight="1">
      <c r="A6" s="365" t="s">
        <v>197</v>
      </c>
      <c r="B6" s="366"/>
      <c r="C6" s="366"/>
      <c r="D6" s="366"/>
      <c r="E6" s="366"/>
      <c r="F6" s="366"/>
      <c r="G6" s="366"/>
      <c r="H6" s="366"/>
      <c r="I6" s="366"/>
      <c r="J6" s="366"/>
      <c r="K6" s="366"/>
      <c r="L6" s="325" t="s">
        <v>339</v>
      </c>
      <c r="M6" s="325"/>
      <c r="N6" s="325"/>
      <c r="O6" s="87"/>
      <c r="P6" s="88"/>
      <c r="Q6" s="88"/>
      <c r="R6" s="88"/>
      <c r="S6" s="88"/>
      <c r="T6" s="88"/>
    </row>
    <row r="7" spans="1:20" s="43" customFormat="1" ht="39.6" customHeight="1">
      <c r="A7" s="365" t="s">
        <v>140</v>
      </c>
      <c r="B7" s="366"/>
      <c r="C7" s="366"/>
      <c r="D7" s="366"/>
      <c r="E7" s="366"/>
      <c r="F7" s="366"/>
      <c r="G7" s="366"/>
      <c r="H7" s="366"/>
      <c r="I7" s="366"/>
      <c r="J7" s="366"/>
      <c r="K7" s="366"/>
      <c r="L7" s="325" t="s">
        <v>273</v>
      </c>
      <c r="M7" s="325"/>
      <c r="N7" s="325"/>
      <c r="O7" s="87"/>
      <c r="P7" s="88"/>
      <c r="Q7" s="88"/>
      <c r="R7" s="88"/>
      <c r="S7" s="88"/>
      <c r="T7" s="88"/>
    </row>
    <row r="8" spans="1:20" s="43" customFormat="1" ht="39.6" customHeight="1">
      <c r="A8" s="367" t="s">
        <v>149</v>
      </c>
      <c r="B8" s="368"/>
      <c r="C8" s="368"/>
      <c r="D8" s="368"/>
      <c r="E8" s="368"/>
      <c r="F8" s="368"/>
      <c r="G8" s="368"/>
      <c r="H8" s="368"/>
      <c r="I8" s="368"/>
      <c r="J8" s="368"/>
      <c r="K8" s="365"/>
      <c r="L8" s="369">
        <f>'Data Ramp Plan'!I50</f>
        <v>5.1191249999999995E-3</v>
      </c>
      <c r="M8" s="369"/>
      <c r="N8" s="369"/>
      <c r="O8" s="87"/>
      <c r="P8" s="88"/>
      <c r="Q8" s="88"/>
      <c r="R8" s="88"/>
      <c r="S8" s="88"/>
      <c r="T8" s="88"/>
    </row>
    <row r="9" spans="1:20" s="43" customFormat="1" ht="39.6" customHeight="1">
      <c r="A9" s="367" t="s">
        <v>70</v>
      </c>
      <c r="B9" s="368"/>
      <c r="C9" s="368"/>
      <c r="D9" s="368"/>
      <c r="E9" s="368"/>
      <c r="F9" s="368"/>
      <c r="G9" s="368"/>
      <c r="H9" s="368"/>
      <c r="I9" s="368"/>
      <c r="J9" s="368"/>
      <c r="K9" s="368"/>
      <c r="L9" s="369">
        <f>'Data Ramp Plan'!I51</f>
        <v>7.0353533606976271E-2</v>
      </c>
      <c r="M9" s="369"/>
      <c r="N9" s="369"/>
      <c r="O9" s="87"/>
      <c r="P9" s="88"/>
      <c r="Q9" s="88"/>
      <c r="R9" s="88"/>
      <c r="S9" s="88"/>
      <c r="T9" s="88"/>
    </row>
    <row r="10" spans="1:20" s="43" customFormat="1" ht="39.6" customHeight="1">
      <c r="A10" s="365" t="s">
        <v>48</v>
      </c>
      <c r="B10" s="366"/>
      <c r="C10" s="366"/>
      <c r="D10" s="366"/>
      <c r="E10" s="366"/>
      <c r="F10" s="366"/>
      <c r="G10" s="366"/>
      <c r="H10" s="366"/>
      <c r="I10" s="366"/>
      <c r="J10" s="366"/>
      <c r="K10" s="366"/>
      <c r="L10" s="325" t="s">
        <v>273</v>
      </c>
      <c r="M10" s="325"/>
      <c r="N10" s="325"/>
      <c r="O10" s="87"/>
      <c r="P10" s="88"/>
      <c r="Q10" s="88"/>
      <c r="R10" s="88"/>
      <c r="S10" s="88"/>
      <c r="T10" s="88"/>
    </row>
    <row r="11" spans="1:20" s="43" customFormat="1" ht="39.6" customHeight="1">
      <c r="A11" s="365" t="s">
        <v>49</v>
      </c>
      <c r="B11" s="366"/>
      <c r="C11" s="366"/>
      <c r="D11" s="366"/>
      <c r="E11" s="366"/>
      <c r="F11" s="366"/>
      <c r="G11" s="366"/>
      <c r="H11" s="366"/>
      <c r="I11" s="366"/>
      <c r="J11" s="366"/>
      <c r="K11" s="366"/>
      <c r="L11" s="325" t="s">
        <v>273</v>
      </c>
      <c r="M11" s="325"/>
      <c r="N11" s="325"/>
    </row>
    <row r="12" spans="1:20" s="43" customFormat="1" ht="39.6" customHeight="1">
      <c r="A12" s="365" t="s">
        <v>142</v>
      </c>
      <c r="B12" s="366"/>
      <c r="C12" s="366"/>
      <c r="D12" s="366"/>
      <c r="E12" s="366"/>
      <c r="F12" s="366"/>
      <c r="G12" s="366"/>
      <c r="H12" s="366"/>
      <c r="I12" s="366"/>
      <c r="J12" s="366"/>
      <c r="K12" s="366"/>
      <c r="L12" s="380">
        <f>'Data Ramp Plan'!I48</f>
        <v>24.0140061378479</v>
      </c>
      <c r="M12" s="325"/>
      <c r="N12" s="325"/>
    </row>
    <row r="13" spans="1:20" s="43" customFormat="1" ht="39.6" customHeight="1">
      <c r="A13" s="365" t="s">
        <v>143</v>
      </c>
      <c r="B13" s="366"/>
      <c r="C13" s="366"/>
      <c r="D13" s="366"/>
      <c r="E13" s="366"/>
      <c r="F13" s="366"/>
      <c r="G13" s="366"/>
      <c r="H13" s="366"/>
      <c r="I13" s="366"/>
      <c r="J13" s="366"/>
      <c r="K13" s="366"/>
      <c r="L13" s="380">
        <f>'Data Ramp Plan'!I49</f>
        <v>28.816807365417482</v>
      </c>
      <c r="M13" s="325"/>
      <c r="N13" s="325"/>
    </row>
    <row r="14" spans="1:20" s="43" customFormat="1" ht="39.6" customHeight="1">
      <c r="A14" s="27" t="s">
        <v>270</v>
      </c>
      <c r="B14" s="28"/>
      <c r="C14" s="28"/>
      <c r="D14" s="28"/>
      <c r="E14" s="28"/>
      <c r="F14" s="28"/>
      <c r="G14" s="28"/>
      <c r="H14" s="28"/>
      <c r="I14" s="28"/>
      <c r="J14" s="28"/>
      <c r="K14" s="28"/>
      <c r="L14" s="351" t="s">
        <v>271</v>
      </c>
      <c r="M14" s="351"/>
      <c r="N14" s="351"/>
    </row>
    <row r="15" spans="1:20" s="43" customFormat="1">
      <c r="A15" s="29"/>
      <c r="B15" s="29"/>
      <c r="C15" s="29"/>
      <c r="D15" s="29"/>
      <c r="E15" s="29"/>
      <c r="F15" s="29"/>
      <c r="G15" s="29"/>
      <c r="H15" s="29"/>
      <c r="I15" s="29"/>
      <c r="J15" s="29"/>
      <c r="K15" s="29"/>
      <c r="L15" s="29"/>
      <c r="M15" s="29"/>
      <c r="N15" s="29"/>
    </row>
    <row r="16" spans="1:20" s="43" customFormat="1">
      <c r="A16" s="378" t="s">
        <v>223</v>
      </c>
      <c r="B16" s="379"/>
      <c r="C16" s="379"/>
      <c r="D16" s="379"/>
      <c r="E16" s="379"/>
      <c r="F16" s="379"/>
      <c r="G16" s="379"/>
      <c r="H16" s="379"/>
      <c r="I16" s="379"/>
      <c r="J16" s="379"/>
      <c r="K16" s="379"/>
      <c r="L16" s="379" t="s">
        <v>37</v>
      </c>
      <c r="M16" s="379"/>
      <c r="N16" s="379"/>
    </row>
    <row r="17" spans="1:14" s="43" customFormat="1" ht="42" customHeight="1">
      <c r="A17" s="320" t="s">
        <v>219</v>
      </c>
      <c r="B17" s="320"/>
      <c r="C17" s="320"/>
      <c r="D17" s="320"/>
      <c r="E17" s="320"/>
      <c r="F17" s="320"/>
      <c r="G17" s="320"/>
      <c r="H17" s="320"/>
      <c r="I17" s="320"/>
      <c r="J17" s="320"/>
      <c r="K17" s="320"/>
      <c r="L17" s="320"/>
      <c r="M17" s="320"/>
      <c r="N17" s="381"/>
    </row>
    <row r="18" spans="1:14" s="43" customFormat="1">
      <c r="A18" s="359" t="s">
        <v>201</v>
      </c>
      <c r="B18" s="360"/>
      <c r="C18" s="360"/>
      <c r="D18" s="360"/>
      <c r="E18" s="360"/>
      <c r="F18" s="360"/>
      <c r="G18" s="360"/>
      <c r="H18" s="360"/>
      <c r="I18" s="360"/>
      <c r="J18" s="360"/>
      <c r="K18" s="360"/>
      <c r="L18" s="360"/>
      <c r="M18" s="360"/>
      <c r="N18" s="360"/>
    </row>
    <row r="19" spans="1:14" s="43" customFormat="1" ht="15.6">
      <c r="A19" s="367" t="s">
        <v>141</v>
      </c>
      <c r="B19" s="368"/>
      <c r="C19" s="368"/>
      <c r="D19" s="368"/>
      <c r="E19" s="368"/>
      <c r="F19" s="368"/>
      <c r="G19" s="368"/>
      <c r="H19" s="368"/>
      <c r="I19" s="368"/>
      <c r="J19" s="368"/>
      <c r="K19" s="365"/>
      <c r="L19" s="325" t="s">
        <v>47</v>
      </c>
      <c r="M19" s="325"/>
      <c r="N19" s="325"/>
    </row>
    <row r="20" spans="1:14" s="43" customFormat="1" ht="15.6">
      <c r="A20" s="367" t="s">
        <v>147</v>
      </c>
      <c r="B20" s="368"/>
      <c r="C20" s="368"/>
      <c r="D20" s="368"/>
      <c r="E20" s="368"/>
      <c r="F20" s="368"/>
      <c r="G20" s="368"/>
      <c r="H20" s="368"/>
      <c r="I20" s="368"/>
      <c r="J20" s="368"/>
      <c r="K20" s="365"/>
      <c r="L20" s="325" t="s">
        <v>47</v>
      </c>
      <c r="M20" s="325"/>
      <c r="N20" s="325"/>
    </row>
    <row r="21" spans="1:14" s="43" customFormat="1" ht="15.6">
      <c r="A21" s="367" t="s">
        <v>148</v>
      </c>
      <c r="B21" s="368"/>
      <c r="C21" s="368"/>
      <c r="D21" s="368"/>
      <c r="E21" s="368"/>
      <c r="F21" s="368"/>
      <c r="G21" s="368"/>
      <c r="H21" s="368"/>
      <c r="I21" s="368"/>
      <c r="J21" s="368"/>
      <c r="K21" s="365"/>
      <c r="L21" s="325" t="s">
        <v>47</v>
      </c>
      <c r="M21" s="325"/>
      <c r="N21" s="325"/>
    </row>
    <row r="22" spans="1:14" s="43" customFormat="1" ht="15.6">
      <c r="A22" s="365" t="s">
        <v>79</v>
      </c>
      <c r="B22" s="366"/>
      <c r="C22" s="366"/>
      <c r="D22" s="366"/>
      <c r="E22" s="366"/>
      <c r="F22" s="366"/>
      <c r="G22" s="366"/>
      <c r="H22" s="366"/>
      <c r="I22" s="366"/>
      <c r="J22" s="366"/>
      <c r="K22" s="366"/>
      <c r="L22" s="325" t="s">
        <v>47</v>
      </c>
      <c r="M22" s="325"/>
      <c r="N22" s="325"/>
    </row>
    <row r="23" spans="1:14" s="43" customFormat="1" ht="15.6">
      <c r="A23" s="382" t="s">
        <v>74</v>
      </c>
      <c r="B23" s="383"/>
      <c r="C23" s="383"/>
      <c r="D23" s="383"/>
      <c r="E23" s="383"/>
      <c r="F23" s="383"/>
      <c r="G23" s="383"/>
      <c r="H23" s="383"/>
      <c r="I23" s="383"/>
      <c r="J23" s="383"/>
      <c r="K23" s="383"/>
      <c r="L23" s="325" t="s">
        <v>47</v>
      </c>
      <c r="M23" s="325"/>
      <c r="N23" s="325"/>
    </row>
    <row r="24" spans="1:14" s="43" customFormat="1" ht="15.6">
      <c r="A24" s="382" t="s">
        <v>75</v>
      </c>
      <c r="B24" s="383"/>
      <c r="C24" s="383"/>
      <c r="D24" s="383"/>
      <c r="E24" s="383"/>
      <c r="F24" s="383"/>
      <c r="G24" s="383"/>
      <c r="H24" s="383"/>
      <c r="I24" s="383"/>
      <c r="J24" s="383"/>
      <c r="K24" s="383"/>
      <c r="L24" s="325" t="s">
        <v>47</v>
      </c>
      <c r="M24" s="325"/>
      <c r="N24" s="325"/>
    </row>
    <row r="25" spans="1:14" s="43" customFormat="1" ht="15.6">
      <c r="A25" s="382" t="s">
        <v>76</v>
      </c>
      <c r="B25" s="383"/>
      <c r="C25" s="383"/>
      <c r="D25" s="383"/>
      <c r="E25" s="383"/>
      <c r="F25" s="383"/>
      <c r="G25" s="383"/>
      <c r="H25" s="383"/>
      <c r="I25" s="383"/>
      <c r="J25" s="383"/>
      <c r="K25" s="383"/>
      <c r="L25" s="325" t="s">
        <v>47</v>
      </c>
      <c r="M25" s="325"/>
      <c r="N25" s="325"/>
    </row>
    <row r="26" spans="1:14" s="43" customFormat="1" ht="15.6">
      <c r="A26" s="382" t="s">
        <v>77</v>
      </c>
      <c r="B26" s="383"/>
      <c r="C26" s="383"/>
      <c r="D26" s="383"/>
      <c r="E26" s="383"/>
      <c r="F26" s="383"/>
      <c r="G26" s="383"/>
      <c r="H26" s="383"/>
      <c r="I26" s="383"/>
      <c r="J26" s="383"/>
      <c r="K26" s="383"/>
      <c r="L26" s="325" t="s">
        <v>47</v>
      </c>
      <c r="M26" s="325"/>
      <c r="N26" s="325"/>
    </row>
    <row r="27" spans="1:14" s="43" customFormat="1" ht="15.6">
      <c r="A27" s="382" t="s">
        <v>78</v>
      </c>
      <c r="B27" s="383"/>
      <c r="C27" s="383"/>
      <c r="D27" s="383"/>
      <c r="E27" s="383"/>
      <c r="F27" s="383"/>
      <c r="G27" s="383"/>
      <c r="H27" s="383"/>
      <c r="I27" s="383"/>
      <c r="J27" s="383"/>
      <c r="K27" s="383"/>
      <c r="L27" s="325" t="s">
        <v>47</v>
      </c>
      <c r="M27" s="325"/>
      <c r="N27" s="325"/>
    </row>
    <row r="28" spans="1:14" s="31" customFormat="1" ht="15.6">
      <c r="A28" s="30"/>
    </row>
  </sheetData>
  <mergeCells count="46">
    <mergeCell ref="A27:K27"/>
    <mergeCell ref="L27:N27"/>
    <mergeCell ref="A24:K24"/>
    <mergeCell ref="L24:N24"/>
    <mergeCell ref="A25:K25"/>
    <mergeCell ref="L25:N25"/>
    <mergeCell ref="A26:K26"/>
    <mergeCell ref="L26:N26"/>
    <mergeCell ref="A21:K21"/>
    <mergeCell ref="L21:N21"/>
    <mergeCell ref="A22:K22"/>
    <mergeCell ref="L22:N22"/>
    <mergeCell ref="A23:K23"/>
    <mergeCell ref="L23:N23"/>
    <mergeCell ref="A17:N17"/>
    <mergeCell ref="A18:N18"/>
    <mergeCell ref="A19:K19"/>
    <mergeCell ref="L19:N19"/>
    <mergeCell ref="A20:K20"/>
    <mergeCell ref="L20:N20"/>
    <mergeCell ref="A9:K9"/>
    <mergeCell ref="L9:N9"/>
    <mergeCell ref="A10:K10"/>
    <mergeCell ref="L10:N10"/>
    <mergeCell ref="A16:K16"/>
    <mergeCell ref="L16:N16"/>
    <mergeCell ref="L14:N14"/>
    <mergeCell ref="L11:N11"/>
    <mergeCell ref="A12:K12"/>
    <mergeCell ref="L12:N12"/>
    <mergeCell ref="A13:K13"/>
    <mergeCell ref="L13:N13"/>
    <mergeCell ref="A11:K11"/>
    <mergeCell ref="A1:N1"/>
    <mergeCell ref="A2:K2"/>
    <mergeCell ref="L2:N2"/>
    <mergeCell ref="A3:N3"/>
    <mergeCell ref="A5:K5"/>
    <mergeCell ref="L5:N5"/>
    <mergeCell ref="A4:N4"/>
    <mergeCell ref="A6:K6"/>
    <mergeCell ref="L6:N6"/>
    <mergeCell ref="A7:K7"/>
    <mergeCell ref="L7:N7"/>
    <mergeCell ref="A8:K8"/>
    <mergeCell ref="L8:N8"/>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71F1FA81-7241-43F4-8083-397D86E20021}">
          <x14:formula1>
            <xm:f>'Dropdown inputs'!$B$2:$B$4</xm:f>
          </x14:formula1>
          <xm:sqref>L2:N2 L16:N16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362AF-C44D-E94E-A673-A672F6DCD43B}">
  <dimension ref="A1:F32"/>
  <sheetViews>
    <sheetView workbookViewId="0">
      <selection activeCell="A33" sqref="A33"/>
    </sheetView>
  </sheetViews>
  <sheetFormatPr defaultColWidth="11" defaultRowHeight="15"/>
  <cols>
    <col min="1" max="9" width="11" style="33"/>
    <col min="10" max="10" width="21.09765625" style="33" customWidth="1"/>
    <col min="11" max="11" width="11" style="33"/>
    <col min="12" max="12" width="29.09765625" style="33" customWidth="1"/>
    <col min="13" max="16384" width="11" style="33"/>
  </cols>
  <sheetData>
    <row r="1" spans="1:6">
      <c r="A1" s="68" t="s">
        <v>5</v>
      </c>
    </row>
    <row r="2" spans="1:6">
      <c r="A2" s="68" t="s">
        <v>132</v>
      </c>
      <c r="B2" s="68" t="s">
        <v>35</v>
      </c>
      <c r="C2" s="68" t="s">
        <v>35</v>
      </c>
      <c r="D2" s="68" t="s">
        <v>35</v>
      </c>
      <c r="E2" s="68" t="s">
        <v>35</v>
      </c>
      <c r="F2" s="68" t="s">
        <v>35</v>
      </c>
    </row>
    <row r="3" spans="1:6" ht="31.05" customHeight="1">
      <c r="A3" s="33" t="s">
        <v>6</v>
      </c>
      <c r="B3" s="33" t="s">
        <v>36</v>
      </c>
      <c r="C3" s="33" t="s">
        <v>67</v>
      </c>
      <c r="D3" s="33" t="s">
        <v>82</v>
      </c>
      <c r="E3" s="33" t="s">
        <v>94</v>
      </c>
      <c r="F3" s="33" t="s">
        <v>136</v>
      </c>
    </row>
    <row r="4" spans="1:6">
      <c r="A4" s="33" t="s">
        <v>7</v>
      </c>
      <c r="B4" s="33" t="s">
        <v>37</v>
      </c>
      <c r="C4" s="33" t="s">
        <v>68</v>
      </c>
      <c r="D4" s="33" t="s">
        <v>83</v>
      </c>
      <c r="E4" s="33" t="s">
        <v>96</v>
      </c>
      <c r="F4" s="33" t="s">
        <v>138</v>
      </c>
    </row>
    <row r="5" spans="1:6">
      <c r="A5" s="33" t="s">
        <v>8</v>
      </c>
      <c r="C5" s="33" t="s">
        <v>69</v>
      </c>
      <c r="E5" s="33" t="s">
        <v>97</v>
      </c>
      <c r="F5" s="33" t="s">
        <v>137</v>
      </c>
    </row>
    <row r="6" spans="1:6">
      <c r="A6" s="33" t="s">
        <v>9</v>
      </c>
      <c r="E6" s="33" t="s">
        <v>95</v>
      </c>
      <c r="F6" s="33" t="s">
        <v>135</v>
      </c>
    </row>
    <row r="7" spans="1:6">
      <c r="A7" s="33" t="s">
        <v>10</v>
      </c>
    </row>
    <row r="8" spans="1:6">
      <c r="A8" s="33" t="s">
        <v>11</v>
      </c>
      <c r="B8" s="68" t="s">
        <v>35</v>
      </c>
      <c r="C8" s="68" t="s">
        <v>35</v>
      </c>
      <c r="D8" s="68" t="s">
        <v>35</v>
      </c>
      <c r="E8" s="68" t="s">
        <v>35</v>
      </c>
      <c r="F8" s="68" t="s">
        <v>35</v>
      </c>
    </row>
    <row r="9" spans="1:6">
      <c r="A9" s="33" t="s">
        <v>12</v>
      </c>
      <c r="B9" s="33" t="s">
        <v>160</v>
      </c>
      <c r="C9" s="33" t="s">
        <v>163</v>
      </c>
      <c r="D9" s="33" t="s">
        <v>165</v>
      </c>
      <c r="E9" s="33" t="s">
        <v>167</v>
      </c>
      <c r="F9" s="33" t="s">
        <v>169</v>
      </c>
    </row>
    <row r="10" spans="1:6">
      <c r="A10" s="33" t="s">
        <v>13</v>
      </c>
      <c r="B10" s="33" t="s">
        <v>161</v>
      </c>
      <c r="C10" s="33" t="s">
        <v>164</v>
      </c>
      <c r="D10" s="33" t="s">
        <v>166</v>
      </c>
      <c r="E10" s="33" t="s">
        <v>168</v>
      </c>
      <c r="F10" s="33" t="s">
        <v>170</v>
      </c>
    </row>
    <row r="11" spans="1:6">
      <c r="A11" s="33" t="s">
        <v>14</v>
      </c>
      <c r="B11" s="33" t="s">
        <v>162</v>
      </c>
      <c r="C11" s="33" t="s">
        <v>162</v>
      </c>
      <c r="D11" s="33" t="s">
        <v>162</v>
      </c>
      <c r="E11" s="33" t="s">
        <v>162</v>
      </c>
      <c r="F11" s="33" t="s">
        <v>162</v>
      </c>
    </row>
    <row r="12" spans="1:6">
      <c r="A12" s="33" t="s">
        <v>15</v>
      </c>
    </row>
    <row r="13" spans="1:6">
      <c r="A13" s="33" t="s">
        <v>16</v>
      </c>
    </row>
    <row r="14" spans="1:6">
      <c r="A14" s="33" t="s">
        <v>17</v>
      </c>
    </row>
    <row r="15" spans="1:6">
      <c r="A15" s="33" t="s">
        <v>18</v>
      </c>
    </row>
    <row r="16" spans="1:6">
      <c r="A16" s="33" t="s">
        <v>19</v>
      </c>
    </row>
    <row r="17" spans="1:1">
      <c r="A17" s="33" t="s">
        <v>20</v>
      </c>
    </row>
    <row r="18" spans="1:1">
      <c r="A18" s="33" t="s">
        <v>21</v>
      </c>
    </row>
    <row r="19" spans="1:1">
      <c r="A19" s="33" t="s">
        <v>22</v>
      </c>
    </row>
    <row r="20" spans="1:1">
      <c r="A20" s="33" t="s">
        <v>23</v>
      </c>
    </row>
    <row r="21" spans="1:1">
      <c r="A21" s="33" t="s">
        <v>24</v>
      </c>
    </row>
    <row r="22" spans="1:1">
      <c r="A22" s="33" t="s">
        <v>25</v>
      </c>
    </row>
    <row r="23" spans="1:1">
      <c r="A23" s="33" t="s">
        <v>26</v>
      </c>
    </row>
    <row r="24" spans="1:1">
      <c r="A24" s="33" t="s">
        <v>27</v>
      </c>
    </row>
    <row r="25" spans="1:1">
      <c r="A25" s="33" t="s">
        <v>28</v>
      </c>
    </row>
    <row r="26" spans="1:1">
      <c r="A26" s="33" t="s">
        <v>29</v>
      </c>
    </row>
    <row r="27" spans="1:1">
      <c r="A27" s="33" t="s">
        <v>30</v>
      </c>
    </row>
    <row r="28" spans="1:1">
      <c r="A28" s="33" t="s">
        <v>31</v>
      </c>
    </row>
    <row r="29" spans="1:1">
      <c r="A29" s="33" t="s">
        <v>32</v>
      </c>
    </row>
    <row r="30" spans="1:1">
      <c r="A30" s="33" t="s">
        <v>33</v>
      </c>
    </row>
    <row r="31" spans="1:1">
      <c r="A31" s="33" t="s">
        <v>34</v>
      </c>
    </row>
    <row r="32" spans="1:1">
      <c r="A32" s="33" t="s">
        <v>242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1FC98F3C7B25049BC51CFA7477E0138" ma:contentTypeVersion="9" ma:contentTypeDescription="Create a new document." ma:contentTypeScope="" ma:versionID="d0120035a4b7ac991c406432d0caf6ec">
  <xsd:schema xmlns:xsd="http://www.w3.org/2001/XMLSchema" xmlns:xs="http://www.w3.org/2001/XMLSchema" xmlns:p="http://schemas.microsoft.com/office/2006/metadata/properties" xmlns:ns2="4920607f-436f-4206-8a0b-e593d4e17cb0" xmlns:ns3="5eca5c9e-23fa-43c2-b9d6-4c4246f95b02" targetNamespace="http://schemas.microsoft.com/office/2006/metadata/properties" ma:root="true" ma:fieldsID="4136b8e7b7adc06fb12559a5ba4e7d41" ns2:_="" ns3:_="">
    <xsd:import namespace="4920607f-436f-4206-8a0b-e593d4e17cb0"/>
    <xsd:import namespace="5eca5c9e-23fa-43c2-b9d6-4c4246f95b02"/>
    <xsd:element name="properties">
      <xsd:complexType>
        <xsd:sequence>
          <xsd:element name="documentManagement">
            <xsd:complexType>
              <xsd:all>
                <xsd:element ref="ns2:SharedWithUsers" minOccurs="0"/>
                <xsd:element ref="ns3:Announcement" minOccurs="0"/>
                <xsd:element ref="ns3:Change_x0020_Type" minOccurs="0"/>
                <xsd:element ref="ns3:Audience_x0020_Impacted" minOccurs="0"/>
                <xsd:element ref="ns3:Effective_x0020_Date" minOccurs="0"/>
                <xsd:element ref="ns3:Document_x0020_Owner" minOccurs="0"/>
                <xsd:element ref="ns3:Deal_x0020_Milestones" minOccurs="0"/>
                <xsd:element ref="ns3:Impacted_x0020_Process_x002f_Task" minOccurs="0"/>
                <xsd:element ref="ns3:Announcement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0607f-436f-4206-8a0b-e593d4e17cb0"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eca5c9e-23fa-43c2-b9d6-4c4246f95b02" elementFormDefault="qualified">
    <xsd:import namespace="http://schemas.microsoft.com/office/2006/documentManagement/types"/>
    <xsd:import namespace="http://schemas.microsoft.com/office/infopath/2007/PartnerControls"/>
    <xsd:element name="Announcement" ma:index="9" nillable="true" ma:displayName="Announcement" ma:default="0" ma:internalName="Announcement">
      <xsd:simpleType>
        <xsd:restriction base="dms:Boolean"/>
      </xsd:simpleType>
    </xsd:element>
    <xsd:element name="Change_x0020_Type" ma:index="10" nillable="true" ma:displayName="Change Type" ma:internalName="Change_x0020_Type">
      <xsd:complexType>
        <xsd:complexContent>
          <xsd:extension base="dms:MultiChoice">
            <xsd:sequence>
              <xsd:element name="Value" maxOccurs="unbounded" minOccurs="0" nillable="true">
                <xsd:simpleType>
                  <xsd:restriction base="dms:Choice">
                    <xsd:enumeration value="Process-&gt;New/Change/Delete"/>
                    <xsd:enumeration value="Cross-functional Process"/>
                    <xsd:enumeration value="Approvals"/>
                    <xsd:enumeration value="Framework-&gt; Program Updates"/>
                    <xsd:enumeration value="New Tool"/>
                  </xsd:restriction>
                </xsd:simpleType>
              </xsd:element>
            </xsd:sequence>
          </xsd:extension>
        </xsd:complexContent>
      </xsd:complexType>
    </xsd:element>
    <xsd:element name="Audience_x0020_Impacted" ma:index="11" nillable="true" ma:displayName="Audience Impacted" ma:internalName="Audience_x0020_Impacted">
      <xsd:complexType>
        <xsd:complexContent>
          <xsd:extension base="dms:MultiChoice">
            <xsd:sequence>
              <xsd:element name="Value" maxOccurs="unbounded" minOccurs="0" nillable="true">
                <xsd:simpleType>
                  <xsd:restriction base="dms:Choice">
                    <xsd:enumeration value="SCE"/>
                    <xsd:enumeration value="Bullpens"/>
                    <xsd:enumeration value="Structurers"/>
                    <xsd:enumeration value="Deal Leads"/>
                    <xsd:enumeration value="PPO"/>
                  </xsd:restriction>
                </xsd:simpleType>
              </xsd:element>
            </xsd:sequence>
          </xsd:extension>
        </xsd:complexContent>
      </xsd:complexType>
    </xsd:element>
    <xsd:element name="Effective_x0020_Date" ma:index="12" nillable="true" ma:displayName="Effective Date" ma:format="DateOnly" ma:internalName="Effective_x0020_Date">
      <xsd:simpleType>
        <xsd:restriction base="dms:DateTime"/>
      </xsd:simpleType>
    </xsd:element>
    <xsd:element name="Document_x0020_Owner" ma:index="13" nillable="true" ma:displayName="Document Owner" ma:list="UserInfo" ma:SharePointGroup="0" ma:internalName="Document_x0020_Owne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eal_x0020_Milestones" ma:index="14" nillable="true" ma:displayName="Deal Milestones" ma:format="Dropdown" ma:internalName="Deal_x0020_Milestones">
      <xsd:simpleType>
        <xsd:restriction base="dms:Choice">
          <xsd:enumeration value="Qualification"/>
          <xsd:enumeration value="Internal Strategic Alignment"/>
          <xsd:enumeration value="Framework"/>
          <xsd:enumeration value="Structure"/>
          <xsd:enumeration value="S&amp;TP Approvals"/>
          <xsd:enumeration value="Proposal"/>
          <xsd:enumeration value="PPA"/>
          <xsd:enumeration value="Executable"/>
          <xsd:enumeration value="Signatures"/>
          <xsd:enumeration value="Closeouts"/>
        </xsd:restriction>
      </xsd:simpleType>
    </xsd:element>
    <xsd:element name="Impacted_x0020_Process_x002f_Task" ma:index="15" nillable="true" ma:displayName="Impacted Process/Task" ma:format="Dropdown" ma:internalName="Impacted_x0020_Process_x002f_Task">
      <xsd:simpleType>
        <xsd:restriction base="dms:Choice">
          <xsd:enumeration value="NA"/>
          <xsd:enumeration value="Internal Alignment Meeting"/>
          <xsd:enumeration value="Draft Demand Plan"/>
          <xsd:enumeration value="Initial Customer Meeting"/>
          <xsd:enumeration value="Internal Strategic Alignment"/>
          <xsd:enumeration value="Service Deep-dive Customer Meeting"/>
          <xsd:enumeration value="Draft Framework Term Sheet (FTS)"/>
          <xsd:enumeration value="FTS Customer Alignment"/>
          <xsd:enumeration value="Create Commercial Structure"/>
          <xsd:enumeration value="Service Team Approval"/>
          <xsd:enumeration value="Net Margin Modeling"/>
          <xsd:enumeration value="Peer Review"/>
          <xsd:enumeration value="AIM Submission"/>
          <xsd:enumeration value="S&amp;TP Approvals"/>
          <xsd:enumeration value="Draft PTS"/>
          <xsd:enumeration value="Negotiation cycle"/>
          <xsd:enumeration value="PTS Customer Alignment"/>
          <xsd:enumeration value="Draft PPA"/>
          <xsd:enumeration value="PPA Customer Alignment"/>
          <xsd:enumeration value="Executable PPA"/>
          <xsd:enumeration value="DocuSign package"/>
          <xsd:enumeration value="Secure signatures"/>
        </xsd:restriction>
      </xsd:simpleType>
    </xsd:element>
    <xsd:element name="Announcement_x0020_Type" ma:index="16" nillable="true" ma:displayName="Announcement Type" ma:internalName="Announcement_x0020_Type">
      <xsd:complexType>
        <xsd:complexContent>
          <xsd:extension base="dms:MultiChoice">
            <xsd:sequence>
              <xsd:element name="Value" maxOccurs="unbounded" minOccurs="0" nillable="true">
                <xsd:simpleType>
                  <xsd:restriction base="dms:Choice">
                    <xsd:enumeration value="Orange Banners"/>
                    <xsd:enumeration value="Bulletins"/>
                    <xsd:enumeration value="Other Announcements"/>
                  </xsd:restriction>
                </xsd:simple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Document_x0020_Owner xmlns="5eca5c9e-23fa-43c2-b9d6-4c4246f95b02">
      <UserInfo>
        <DisplayName/>
        <AccountId xsi:nil="true"/>
        <AccountType/>
      </UserInfo>
    </Document_x0020_Owner>
    <Change_x0020_Type xmlns="5eca5c9e-23fa-43c2-b9d6-4c4246f95b02"/>
    <Deal_x0020_Milestones xmlns="5eca5c9e-23fa-43c2-b9d6-4c4246f95b02" xsi:nil="true"/>
    <Impacted_x0020_Process_x002f_Task xmlns="5eca5c9e-23fa-43c2-b9d6-4c4246f95b02" xsi:nil="true"/>
    <Audience_x0020_Impacted xmlns="5eca5c9e-23fa-43c2-b9d6-4c4246f95b02"/>
    <Announcement_x0020_Type xmlns="5eca5c9e-23fa-43c2-b9d6-4c4246f95b02"/>
    <Announcement xmlns="5eca5c9e-23fa-43c2-b9d6-4c4246f95b02">false</Announcement>
    <Effective_x0020_Date xmlns="5eca5c9e-23fa-43c2-b9d6-4c4246f95b0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73791C2-BE38-4F36-8235-D00540964A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920607f-436f-4206-8a0b-e593d4e17cb0"/>
    <ds:schemaRef ds:uri="5eca5c9e-23fa-43c2-b9d6-4c4246f95b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F990A49-7D40-4FF6-915C-7EFA2291F3F3}">
  <ds:schemaRefs>
    <ds:schemaRef ds:uri="http://schemas.microsoft.com/office/2006/metadata/properties"/>
    <ds:schemaRef ds:uri="http://schemas.microsoft.com/office/infopath/2007/PartnerControls"/>
    <ds:schemaRef ds:uri="5eca5c9e-23fa-43c2-b9d6-4c4246f95b02"/>
  </ds:schemaRefs>
</ds:datastoreItem>
</file>

<file path=customXml/itemProps3.xml><?xml version="1.0" encoding="utf-8"?>
<ds:datastoreItem xmlns:ds="http://schemas.openxmlformats.org/officeDocument/2006/customXml" ds:itemID="{8F1A7D66-8FB6-4CB4-A63B-3AF1CE931DB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Instructions</vt:lpstr>
      <vt:lpstr>Data Ramp Plan</vt:lpstr>
      <vt:lpstr>Pricing Optimization Proposal</vt:lpstr>
      <vt:lpstr>Assumption</vt:lpstr>
      <vt:lpstr>Deal Model Inputs (2)</vt:lpstr>
      <vt:lpstr>Discount Ask</vt:lpstr>
      <vt:lpstr>Deal Inputs</vt:lpstr>
      <vt:lpstr>Business Justification</vt:lpstr>
      <vt:lpstr>Additional Details</vt:lpstr>
      <vt:lpstr>Dropdown inputs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Microsoft Office User</dc:creator>
  <cp:lastModifiedBy>Ma, Yimin</cp:lastModifiedBy>
  <dcterms:created xsi:type="dcterms:W3CDTF">2021-10-11T22:03:14Z</dcterms:created>
  <dcterms:modified xsi:type="dcterms:W3CDTF">2025-02-25T03:00:58Z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0x01010091FC98F3C7B25049BC51CFA7477E0138</vt:lpwstr>
  </property>
</Properties>
</file>