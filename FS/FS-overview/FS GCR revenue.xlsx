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taihuan\Desktop\FS Handover\"/>
    </mc:Choice>
  </mc:AlternateContent>
  <xr:revisionPtr revIDLastSave="0" documentId="13_ncr:1_{E50000A0-8151-48E3-8A4C-F9E310A99B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B &amp; Workloads" sheetId="6" r:id="rId1"/>
    <sheet name="History rev from 2019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H3" i="5" l="1"/>
  <c r="G3" i="5"/>
  <c r="F3" i="5"/>
  <c r="E3" i="5"/>
  <c r="D3" i="5"/>
  <c r="C3" i="5"/>
</calcChain>
</file>

<file path=xl/sharedStrings.xml><?xml version="1.0" encoding="utf-8"?>
<sst xmlns="http://schemas.openxmlformats.org/spreadsheetml/2006/main" count="28" uniqueCount="28">
  <si>
    <t>LoB</t>
    <phoneticPr fontId="1" type="noConversion"/>
  </si>
  <si>
    <t>workload</t>
    <phoneticPr fontId="1" type="noConversion"/>
  </si>
  <si>
    <t>ARR K</t>
    <phoneticPr fontId="1" type="noConversion"/>
  </si>
  <si>
    <t>AWS Services</t>
    <phoneticPr fontId="1" type="noConversion"/>
  </si>
  <si>
    <t>Related APNs</t>
    <phoneticPr fontId="1" type="noConversion"/>
  </si>
  <si>
    <t>Risk</t>
    <phoneticPr fontId="1" type="noConversion"/>
  </si>
  <si>
    <t>Channel Sales</t>
    <phoneticPr fontId="1" type="noConversion"/>
  </si>
  <si>
    <t>AI Coach (Smart Sales)
LLM+RAG</t>
    <phoneticPr fontId="1" type="noConversion"/>
  </si>
  <si>
    <t>MP2P H20/T4</t>
    <phoneticPr fontId="1" type="noConversion"/>
  </si>
  <si>
    <t>由于缺乏AWS@FS@GCR资质，有计划迁移至Ali in Q2</t>
    <phoneticPr fontId="1" type="noConversion"/>
  </si>
  <si>
    <t>Digital Human</t>
    <phoneticPr fontId="1" type="noConversion"/>
  </si>
  <si>
    <t>MP2P ZITZO</t>
    <phoneticPr fontId="1" type="noConversion"/>
  </si>
  <si>
    <t>ZITZO/Nexttao</t>
    <phoneticPr fontId="1" type="noConversion"/>
  </si>
  <si>
    <t>RnD</t>
    <phoneticPr fontId="1" type="noConversion"/>
  </si>
  <si>
    <t>Global unified data transfer testing</t>
    <phoneticPr fontId="1" type="noConversion"/>
  </si>
  <si>
    <t>EC2 | DTO</t>
    <phoneticPr fontId="1" type="noConversion"/>
  </si>
  <si>
    <t>Care</t>
    <phoneticPr fontId="1" type="noConversion"/>
  </si>
  <si>
    <t>APJ Care-ServiceOne</t>
    <phoneticPr fontId="1" type="noConversion"/>
  </si>
  <si>
    <t>EC2 | RDS</t>
    <phoneticPr fontId="1" type="noConversion"/>
  </si>
  <si>
    <t>ServiceOne</t>
    <phoneticPr fontId="1" type="noConversion"/>
  </si>
  <si>
    <t>日本当地合规原因，计划从S1账号迁移至AWS@FS</t>
    <phoneticPr fontId="1" type="noConversion"/>
  </si>
  <si>
    <t>AIPO</t>
    <phoneticPr fontId="1" type="noConversion"/>
  </si>
  <si>
    <t>iCloud control Engineering</t>
    <phoneticPr fontId="1" type="noConversion"/>
  </si>
  <si>
    <t>Route 53</t>
    <phoneticPr fontId="1" type="noConversion"/>
  </si>
  <si>
    <t>After ID Exception</t>
    <phoneticPr fontId="1" type="noConversion"/>
  </si>
  <si>
    <t>Rev(K)</t>
    <phoneticPr fontId="1" type="noConversion"/>
  </si>
  <si>
    <t>YoY%</t>
    <phoneticPr fontId="1" type="noConversion"/>
  </si>
  <si>
    <t>FY22-$324K, FY23-$400K, and FY24-$442K.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</si>
</sst>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Calibri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Yearly spending after</a:t>
            </a:r>
            <a:r>
              <a:rPr lang="zh-CN" altLang="en-US" sz="1400" b="0" i="0" u="none" strike="noStrike" baseline="0">
                <a:effectLst/>
              </a:rPr>
              <a:t> </a:t>
            </a:r>
            <a:r>
              <a:rPr lang="en-US" altLang="zh-CN" sz="1400" b="0" i="0" u="none" strike="noStrike" baseline="0">
                <a:effectLst/>
              </a:rPr>
              <a:t>ID Exception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'History rev from 2019'!$A$2</c:f>
              <c:strCache>
                <c:ptCount val="1"/>
                <c:pt idx="0">
                  <c:v>Rev(K)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'History rev from 2019'!$B$1:$H$1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'History rev from 2019'!$B$2:$H$2</c:f>
              <c:numCache>
                <c:formatCode>General</c:formatCode>
                <c:ptCount val="7"/>
                <c:pt idx="0">
                  <c:v>16</c:v>
                </c:pt>
                <c:pt idx="1">
                  <c:v>50</c:v>
                </c:pt>
                <c:pt idx="2">
                  <c:v>61</c:v>
                </c:pt>
                <c:pt idx="3">
                  <c:v>71</c:v>
                </c:pt>
                <c:pt idx="4">
                  <c:v>92</c:v>
                </c:pt>
                <c:pt idx="5">
                  <c:v>133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5-4C7F-927C-8484FC29D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600575"/>
        <c:axId val="1191608255"/>
      </c:barChart>
      <c:lineChart>
        <c:grouping val="standard"/>
        <c:varyColors val="0"/>
        <c:ser>
          <c:idx val="1"/>
          <c:order val="1"/>
          <c:tx>
            <c:strRef>
              <c:f>'History rev from 2019'!$A$3</c:f>
              <c:strCache>
                <c:ptCount val="1"/>
                <c:pt idx="0">
                  <c:v>YoY%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'History rev from 2019'!$B$1:$H$1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'History rev from 2019'!$B$3:$H$3</c:f>
              <c:numCache>
                <c:formatCode>0%</c:formatCode>
                <c:ptCount val="7"/>
                <c:pt idx="1">
                  <c:v>2.125</c:v>
                </c:pt>
                <c:pt idx="2">
                  <c:v>0.22</c:v>
                </c:pt>
                <c:pt idx="3">
                  <c:v>0.16393442622950818</c:v>
                </c:pt>
                <c:pt idx="4">
                  <c:v>0.29577464788732394</c:v>
                </c:pt>
                <c:pt idx="5">
                  <c:v>0.44565217391304346</c:v>
                </c:pt>
                <c:pt idx="6">
                  <c:v>2.7593984962406015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25-4C7F-927C-8484FC29D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602495"/>
        <c:axId val="1191624095"/>
      </c:lineChart>
      <c:catAx>
        <c:axId val="1191600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608255"/>
        <c:crosses val="autoZero"/>
        <c:auto val="1"/>
        <c:lblAlgn val="ctr"/>
        <c:lblOffset val="100"/>
        <c:noMultiLvlLbl val="0"/>
      </c:catAx>
      <c:valAx>
        <c:axId val="11916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600575"/>
        <c:crosses val="autoZero"/>
        <c:crossBetween val="between"/>
      </c:valAx>
      <c:valAx>
        <c:axId val="119162409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1">
                <a:alpha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C66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602495"/>
        <c:crosses val="max"/>
        <c:crossBetween val="between"/>
      </c:valAx>
      <c:catAx>
        <c:axId val="119160249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1624095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156210</xdr:rowOff>
    </xdr:from>
    <xdr:to>
      <xdr:col>9</xdr:col>
      <xdr:colOff>220980</xdr:colOff>
      <xdr:row>26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A6C2D7-305D-47B9-8D04-9BE6E7D8A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31A5-AE9B-428D-96BF-F5B56EF24C3C}">
  <dimension ref="A1:F7"/>
  <sheetViews>
    <sheetView tabSelected="1" workbookViewId="0">
      <selection activeCell="F16" sqref="F16"/>
    </sheetView>
  </sheetViews>
  <sheetFormatPr defaultRowHeight="13.9"/>
  <cols>
    <col min="1" max="1" width="13.625" bestFit="1" customWidth="1"/>
    <col min="2" max="2" width="31.625" customWidth="1"/>
    <col min="3" max="3" width="7.125" bestFit="1" customWidth="1"/>
    <col min="4" max="4" width="14.25" bestFit="1" customWidth="1"/>
    <col min="5" max="5" width="14.75" bestFit="1" customWidth="1"/>
    <col min="6" max="6" width="48.8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7.6">
      <c r="A2" s="14" t="s">
        <v>6</v>
      </c>
      <c r="B2" s="10" t="s">
        <v>7</v>
      </c>
      <c r="C2" s="5">
        <v>200</v>
      </c>
      <c r="D2" s="6" t="s">
        <v>8</v>
      </c>
      <c r="E2" s="6"/>
      <c r="F2" s="13" t="s">
        <v>9</v>
      </c>
    </row>
    <row r="3" spans="1:6">
      <c r="A3" s="14"/>
      <c r="B3" s="1" t="s">
        <v>10</v>
      </c>
      <c r="C3" s="5">
        <v>150</v>
      </c>
      <c r="D3" s="8" t="s">
        <v>11</v>
      </c>
      <c r="E3" s="8" t="s">
        <v>12</v>
      </c>
      <c r="F3" s="12"/>
    </row>
    <row r="4" spans="1:6">
      <c r="A4" s="2" t="s">
        <v>13</v>
      </c>
      <c r="B4" s="1" t="s">
        <v>14</v>
      </c>
      <c r="C4" s="5">
        <v>50</v>
      </c>
      <c r="D4" s="1" t="s">
        <v>15</v>
      </c>
      <c r="E4" s="1"/>
      <c r="F4" s="12"/>
    </row>
    <row r="5" spans="1:6">
      <c r="A5" s="2" t="s">
        <v>16</v>
      </c>
      <c r="B5" s="1" t="s">
        <v>17</v>
      </c>
      <c r="C5" s="5">
        <v>30</v>
      </c>
      <c r="D5" s="1" t="s">
        <v>18</v>
      </c>
      <c r="E5" s="1" t="s">
        <v>19</v>
      </c>
      <c r="F5" s="12" t="s">
        <v>20</v>
      </c>
    </row>
    <row r="6" spans="1:6">
      <c r="A6" s="2" t="s">
        <v>21</v>
      </c>
      <c r="B6" s="1" t="s">
        <v>22</v>
      </c>
      <c r="C6" s="5">
        <v>70</v>
      </c>
      <c r="D6" s="7" t="s">
        <v>23</v>
      </c>
      <c r="E6" s="1"/>
      <c r="F6" s="12"/>
    </row>
    <row r="7" spans="1:6">
      <c r="A7" s="1"/>
      <c r="B7" s="1"/>
      <c r="C7" s="9">
        <f>SUM(C2:C6)</f>
        <v>500</v>
      </c>
      <c r="D7" s="1"/>
      <c r="E7" s="1"/>
      <c r="F7" s="12"/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65DE-C0B3-473C-BDB2-C78596BAAE0D}">
  <dimension ref="A1:H5"/>
  <sheetViews>
    <sheetView workbookViewId="0">
      <selection activeCell="I3" sqref="I3"/>
    </sheetView>
  </sheetViews>
  <sheetFormatPr defaultRowHeight="13.9"/>
  <cols>
    <col min="1" max="1" width="18.125" customWidth="1"/>
    <col min="2" max="2" width="6.75" customWidth="1"/>
    <col min="3" max="3" width="7.5" customWidth="1"/>
  </cols>
  <sheetData>
    <row r="1" spans="1:8">
      <c r="A1" s="3" t="s">
        <v>24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</row>
    <row r="2" spans="1:8">
      <c r="A2" s="9" t="s">
        <v>25</v>
      </c>
      <c r="B2" s="9">
        <v>16</v>
      </c>
      <c r="C2" s="9">
        <v>50</v>
      </c>
      <c r="D2" s="9">
        <v>61</v>
      </c>
      <c r="E2" s="9">
        <v>71</v>
      </c>
      <c r="F2" s="9">
        <v>92</v>
      </c>
      <c r="G2" s="9">
        <v>133</v>
      </c>
      <c r="H2" s="9">
        <v>500</v>
      </c>
    </row>
    <row r="3" spans="1:8">
      <c r="A3" s="9" t="s">
        <v>26</v>
      </c>
      <c r="B3" s="9"/>
      <c r="C3" s="11">
        <f>(C2-B2)/B2</f>
        <v>2.125</v>
      </c>
      <c r="D3" s="11">
        <f t="shared" ref="D3:H3" si="0">(D2-C2)/C2</f>
        <v>0.22</v>
      </c>
      <c r="E3" s="11">
        <f t="shared" si="0"/>
        <v>0.16393442622950818</v>
      </c>
      <c r="F3" s="11">
        <f t="shared" si="0"/>
        <v>0.29577464788732394</v>
      </c>
      <c r="G3" s="11">
        <f t="shared" si="0"/>
        <v>0.44565217391304346</v>
      </c>
      <c r="H3" s="11">
        <f t="shared" si="0"/>
        <v>2.7593984962406015</v>
      </c>
    </row>
    <row r="5" spans="1:8" ht="14.45">
      <c r="A5" s="4" t="s">
        <v>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1" ma:contentTypeDescription="新建文档。" ma:contentTypeScope="" ma:versionID="72f825d5fbecb4ec6be468fc88ae3b5b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270b500c64e6360615ce604d6906027d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6E57E4-897C-4F61-85A9-3F76BDD8DC63}"/>
</file>

<file path=customXml/itemProps2.xml><?xml version="1.0" encoding="utf-8"?>
<ds:datastoreItem xmlns:ds="http://schemas.openxmlformats.org/officeDocument/2006/customXml" ds:itemID="{2F76AFF6-366F-41D0-A01A-714C57104F51}"/>
</file>

<file path=customXml/itemProps3.xml><?xml version="1.0" encoding="utf-8"?>
<ds:datastoreItem xmlns:ds="http://schemas.openxmlformats.org/officeDocument/2006/customXml" ds:itemID="{6DD1473C-47CC-45CA-BE16-C15537C04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Huang, Tai</dc:creator>
  <cp:keywords/>
  <dc:description/>
  <cp:lastModifiedBy>Huang, Tai</cp:lastModifiedBy>
  <cp:revision/>
  <dcterms:created xsi:type="dcterms:W3CDTF">2015-06-05T18:17:20Z</dcterms:created>
  <dcterms:modified xsi:type="dcterms:W3CDTF">2026-03-10T05:39:57Z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2025-11-01T13:04:07Z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0d29fed2-f781-4153-afa9-176366df6811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ContentTypeId">
    <vt:lpwstr>0x0101007A66FF500996874C82AFAD94F0CB466D</vt:lpwstr>
  </property>
  <property fmtid="{D5CDD505-2E9C-101B-9397-08002B2CF9AE}" pid="11" name="MediaServiceImageTags">
    <vt:lpwstr/>
  </property>
</Properties>
</file>